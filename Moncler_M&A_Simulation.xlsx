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Lorenzoo\Desktop\Hard Disk\"/>
    </mc:Choice>
  </mc:AlternateContent>
  <xr:revisionPtr revIDLastSave="0" documentId="13_ncr:1_{B695E4CA-C885-4C98-BEFF-3E61E0C980DA}" xr6:coauthVersionLast="47" xr6:coauthVersionMax="47" xr10:uidLastSave="{00000000-0000-0000-0000-000000000000}"/>
  <bookViews>
    <workbookView xWindow="-108" yWindow="-108" windowWidth="23256" windowHeight="12456" xr2:uid="{1CA13531-F592-4C0A-AED7-1DF8D163BF66}"/>
  </bookViews>
  <sheets>
    <sheet name="Cover" sheetId="1" r:id="rId1"/>
    <sheet name="Short List" sheetId="12" r:id="rId2"/>
    <sheet name="DCF - Ferragamo" sheetId="3" r:id="rId3"/>
    <sheet name="DCF - Burberry" sheetId="6" r:id="rId4"/>
    <sheet name="DCF - Mulberry Group plc" sheetId="7" r:id="rId5"/>
    <sheet name="Target Recommendation" sheetId="2" r:id="rId6"/>
    <sheet name="Target Due Diligence" sheetId="4" r:id="rId7"/>
    <sheet name="Sources &amp; Uses" sheetId="8" r:id="rId8"/>
    <sheet name="Synergies" sheetId="11" r:id="rId9"/>
    <sheet name="Accretion or Dilution"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1" i="11" l="1"/>
  <c r="C7" i="10" s="1"/>
  <c r="C10" i="11"/>
  <c r="C9" i="11"/>
  <c r="E10" i="11"/>
  <c r="E9" i="11"/>
  <c r="C13" i="10"/>
  <c r="C8" i="10"/>
  <c r="F14" i="2"/>
  <c r="E14" i="2"/>
  <c r="D5" i="2"/>
  <c r="C95" i="3"/>
  <c r="C97" i="3"/>
  <c r="E5" i="8" s="1"/>
  <c r="C107" i="7"/>
  <c r="F11" i="7"/>
  <c r="F15" i="7" s="1"/>
  <c r="D45" i="7"/>
  <c r="E45" i="7"/>
  <c r="C45" i="7"/>
  <c r="D68" i="3"/>
  <c r="E68" i="3"/>
  <c r="C68" i="3"/>
  <c r="D67" i="3"/>
  <c r="E67" i="3"/>
  <c r="C67" i="3"/>
  <c r="D66" i="3"/>
  <c r="E66" i="3"/>
  <c r="C66" i="3"/>
  <c r="D65" i="3"/>
  <c r="E65" i="3"/>
  <c r="C65" i="3"/>
  <c r="D64" i="3"/>
  <c r="E64" i="3"/>
  <c r="C64" i="3"/>
  <c r="C45" i="3"/>
  <c r="D44" i="3"/>
  <c r="E44" i="3"/>
  <c r="C44" i="3"/>
  <c r="D43" i="3"/>
  <c r="E43" i="3"/>
  <c r="C43" i="3"/>
  <c r="D42" i="3"/>
  <c r="E42" i="3"/>
  <c r="C42" i="3"/>
  <c r="D41" i="3"/>
  <c r="E41" i="3"/>
  <c r="C41" i="3"/>
  <c r="D40" i="3"/>
  <c r="E40" i="3"/>
  <c r="D23" i="3"/>
  <c r="E23" i="3"/>
  <c r="C23" i="3"/>
  <c r="D20" i="3"/>
  <c r="E20" i="3"/>
  <c r="C20" i="3"/>
  <c r="D16" i="3"/>
  <c r="E16" i="3"/>
  <c r="C16" i="3"/>
  <c r="F11" i="3"/>
  <c r="G11" i="3" s="1"/>
  <c r="H11" i="3" s="1"/>
  <c r="I11" i="3" s="1"/>
  <c r="J11" i="3" s="1"/>
  <c r="J15" i="3" s="1"/>
  <c r="J75" i="3" s="1"/>
  <c r="C40" i="3"/>
  <c r="C97" i="6"/>
  <c r="E81" i="6"/>
  <c r="D81" i="6"/>
  <c r="C81" i="6"/>
  <c r="E35" i="7"/>
  <c r="D35" i="7"/>
  <c r="C35" i="7"/>
  <c r="C5" i="6"/>
  <c r="D47" i="6" s="1"/>
  <c r="D56" i="6" s="1"/>
  <c r="C5" i="7"/>
  <c r="D53" i="7" s="1"/>
  <c r="D54" i="7"/>
  <c r="D55" i="6"/>
  <c r="D55" i="3"/>
  <c r="D57" i="3" s="1"/>
  <c r="D59" i="3" s="1"/>
  <c r="C10" i="10" l="1"/>
  <c r="C12" i="10" s="1"/>
  <c r="C14" i="10" s="1"/>
  <c r="D7" i="2"/>
  <c r="D6" i="2"/>
  <c r="F23" i="3"/>
  <c r="F22" i="3" s="1"/>
  <c r="F79" i="3" s="1"/>
  <c r="I23" i="3"/>
  <c r="J23" i="3"/>
  <c r="G43" i="3"/>
  <c r="G32" i="3" s="1"/>
  <c r="G67" i="3" s="1"/>
  <c r="G14" i="2"/>
  <c r="H14" i="2"/>
  <c r="H23" i="3"/>
  <c r="G23" i="3"/>
  <c r="E7" i="8"/>
  <c r="E8" i="8" s="1"/>
  <c r="C6" i="8" s="1"/>
  <c r="G44" i="3"/>
  <c r="G33" i="3" s="1"/>
  <c r="G68" i="3" s="1"/>
  <c r="F83" i="7"/>
  <c r="F82" i="7"/>
  <c r="G11" i="7"/>
  <c r="H45" i="7"/>
  <c r="I45" i="7"/>
  <c r="J45" i="7"/>
  <c r="G45" i="7"/>
  <c r="F45" i="7"/>
  <c r="F89" i="7" s="1"/>
  <c r="E69" i="3"/>
  <c r="D69" i="3"/>
  <c r="C69" i="3"/>
  <c r="I42" i="3"/>
  <c r="I30" i="3" s="1"/>
  <c r="J41" i="3"/>
  <c r="J29" i="3" s="1"/>
  <c r="J65" i="3" s="1"/>
  <c r="F40" i="3"/>
  <c r="F28" i="3" s="1"/>
  <c r="F64" i="3" s="1"/>
  <c r="G41" i="3"/>
  <c r="G29" i="3" s="1"/>
  <c r="G65" i="3" s="1"/>
  <c r="J40" i="3"/>
  <c r="J28" i="3" s="1"/>
  <c r="J64" i="3" s="1"/>
  <c r="F41" i="3"/>
  <c r="F29" i="3" s="1"/>
  <c r="F65" i="3" s="1"/>
  <c r="F43" i="3"/>
  <c r="F32" i="3" s="1"/>
  <c r="F67" i="3" s="1"/>
  <c r="F74" i="3"/>
  <c r="H42" i="3"/>
  <c r="H30" i="3" s="1"/>
  <c r="J74" i="3"/>
  <c r="J43" i="3"/>
  <c r="J32" i="3" s="1"/>
  <c r="J67" i="3" s="1"/>
  <c r="I74" i="3"/>
  <c r="I43" i="3"/>
  <c r="I32" i="3" s="1"/>
  <c r="I67" i="3" s="1"/>
  <c r="H74" i="3"/>
  <c r="H43" i="3"/>
  <c r="G74" i="3"/>
  <c r="F15" i="3"/>
  <c r="I41" i="3"/>
  <c r="I29" i="3" s="1"/>
  <c r="I65" i="3" s="1"/>
  <c r="H41" i="3"/>
  <c r="H29" i="3" s="1"/>
  <c r="H65" i="3" s="1"/>
  <c r="F44" i="3"/>
  <c r="F33" i="3" s="1"/>
  <c r="F68" i="3" s="1"/>
  <c r="I40" i="3"/>
  <c r="I28" i="3" s="1"/>
  <c r="I64" i="3" s="1"/>
  <c r="H15" i="3"/>
  <c r="F42" i="3"/>
  <c r="F30" i="3" s="1"/>
  <c r="I44" i="3"/>
  <c r="I33" i="3" s="1"/>
  <c r="I68" i="3" s="1"/>
  <c r="G42" i="3"/>
  <c r="G30" i="3" s="1"/>
  <c r="G66" i="3" s="1"/>
  <c r="G40" i="3"/>
  <c r="G28" i="3" s="1"/>
  <c r="G64" i="3" s="1"/>
  <c r="J44" i="3"/>
  <c r="J33" i="3" s="1"/>
  <c r="J68" i="3" s="1"/>
  <c r="G15" i="3"/>
  <c r="J42" i="3"/>
  <c r="J30" i="3" s="1"/>
  <c r="H44" i="3"/>
  <c r="H33" i="3" s="1"/>
  <c r="H68" i="3" s="1"/>
  <c r="H40" i="3"/>
  <c r="H28" i="3" s="1"/>
  <c r="H64" i="3" s="1"/>
  <c r="I15" i="3"/>
  <c r="D61" i="7"/>
  <c r="D62" i="7"/>
  <c r="D53" i="3"/>
  <c r="D54" i="3" s="1"/>
  <c r="D58" i="3"/>
  <c r="C8" i="8" l="1"/>
  <c r="I75" i="3"/>
  <c r="H75" i="3"/>
  <c r="G75" i="3"/>
  <c r="F75" i="3"/>
  <c r="F19" i="3"/>
  <c r="F66" i="3"/>
  <c r="F69" i="3" s="1"/>
  <c r="F80" i="3" s="1"/>
  <c r="H11" i="7"/>
  <c r="G82" i="7"/>
  <c r="G15" i="7"/>
  <c r="G89" i="7"/>
  <c r="D58" i="7"/>
  <c r="D59" i="7" s="1"/>
  <c r="G69" i="3"/>
  <c r="H66" i="3"/>
  <c r="H32" i="3"/>
  <c r="H67" i="3" s="1"/>
  <c r="J66" i="3"/>
  <c r="J69" i="3" s="1"/>
  <c r="I66" i="3"/>
  <c r="I69" i="3" s="1"/>
  <c r="D63" i="7"/>
  <c r="D65" i="7" s="1"/>
  <c r="F20" i="3" l="1"/>
  <c r="F76" i="3"/>
  <c r="F78" i="3" s="1"/>
  <c r="H69" i="3"/>
  <c r="H80" i="3" s="1"/>
  <c r="J80" i="3"/>
  <c r="G80" i="3"/>
  <c r="H89" i="7"/>
  <c r="G83" i="7"/>
  <c r="H82" i="7"/>
  <c r="I11" i="7"/>
  <c r="H15" i="7"/>
  <c r="G22" i="3"/>
  <c r="D66" i="7"/>
  <c r="G79" i="3" l="1"/>
  <c r="G19" i="3"/>
  <c r="I80" i="3"/>
  <c r="H83" i="7"/>
  <c r="I15" i="7"/>
  <c r="I82" i="7"/>
  <c r="J11" i="7"/>
  <c r="I89" i="7"/>
  <c r="I22" i="3"/>
  <c r="H22" i="3"/>
  <c r="I79" i="3" l="1"/>
  <c r="I19" i="3"/>
  <c r="G20" i="3"/>
  <c r="G76" i="3"/>
  <c r="G78" i="3" s="1"/>
  <c r="H79" i="3"/>
  <c r="H19" i="3"/>
  <c r="I83" i="7"/>
  <c r="J15" i="7"/>
  <c r="J82" i="7"/>
  <c r="J89" i="7"/>
  <c r="J22" i="3"/>
  <c r="H20" i="3" l="1"/>
  <c r="H76" i="3"/>
  <c r="H78" i="3" s="1"/>
  <c r="I20" i="3"/>
  <c r="I76" i="3"/>
  <c r="I78" i="3" s="1"/>
  <c r="J79" i="3"/>
  <c r="J19" i="3"/>
  <c r="J83" i="7"/>
  <c r="J20" i="3" l="1"/>
  <c r="J76" i="3"/>
  <c r="J78" i="3" s="1"/>
  <c r="D57" i="6" l="1"/>
  <c r="D58" i="6" s="1"/>
  <c r="D59" i="6" s="1"/>
  <c r="D52" i="6"/>
  <c r="D53" i="6" s="1"/>
  <c r="D49" i="6"/>
  <c r="D51" i="6" s="1"/>
  <c r="E36" i="7"/>
  <c r="D36" i="7"/>
  <c r="C36" i="7"/>
  <c r="D50" i="3"/>
  <c r="D52" i="3" s="1"/>
  <c r="E38" i="7"/>
  <c r="D38" i="7"/>
  <c r="C38" i="7"/>
  <c r="E39" i="6"/>
  <c r="D39" i="6"/>
  <c r="C39" i="6"/>
  <c r="E33" i="6"/>
  <c r="E67" i="6" s="1"/>
  <c r="D33" i="6"/>
  <c r="D67" i="6" s="1"/>
  <c r="C33" i="6"/>
  <c r="E30" i="6"/>
  <c r="E65" i="6" s="1"/>
  <c r="D30" i="6"/>
  <c r="D65" i="6" s="1"/>
  <c r="C30" i="6"/>
  <c r="E29" i="6"/>
  <c r="E64" i="6" s="1"/>
  <c r="D29" i="6"/>
  <c r="D64" i="6" s="1"/>
  <c r="C29" i="6"/>
  <c r="E28" i="6"/>
  <c r="C95" i="6" s="1"/>
  <c r="D28" i="6"/>
  <c r="C28" i="6"/>
  <c r="E22" i="6"/>
  <c r="D22" i="6"/>
  <c r="C22" i="6"/>
  <c r="E19" i="6"/>
  <c r="D19" i="6"/>
  <c r="C19" i="6"/>
  <c r="E15" i="6"/>
  <c r="D15" i="6"/>
  <c r="C15" i="6"/>
  <c r="C16" i="6" s="1"/>
  <c r="E11" i="6"/>
  <c r="D11" i="6"/>
  <c r="D44" i="6" s="1"/>
  <c r="C11" i="6"/>
  <c r="C44" i="6" s="1"/>
  <c r="C19" i="7"/>
  <c r="C20" i="7" s="1"/>
  <c r="E15" i="7"/>
  <c r="E16" i="7" s="1"/>
  <c r="D15" i="7"/>
  <c r="D16" i="7" s="1"/>
  <c r="C15" i="7"/>
  <c r="C16" i="7" s="1"/>
  <c r="E33" i="7"/>
  <c r="D33" i="7"/>
  <c r="C33" i="7"/>
  <c r="E32" i="7"/>
  <c r="D32" i="7"/>
  <c r="C32" i="7"/>
  <c r="E30" i="7"/>
  <c r="D30" i="7"/>
  <c r="C30" i="7"/>
  <c r="C29" i="7"/>
  <c r="D29" i="7"/>
  <c r="E29" i="7"/>
  <c r="E28" i="7"/>
  <c r="E40" i="7" s="1"/>
  <c r="D28" i="7"/>
  <c r="D40" i="7" s="1"/>
  <c r="C28" i="7"/>
  <c r="C40" i="7" s="1"/>
  <c r="E27" i="7"/>
  <c r="C105" i="7" s="1"/>
  <c r="D27" i="7"/>
  <c r="C27" i="7"/>
  <c r="E22" i="7"/>
  <c r="E23" i="7" s="1"/>
  <c r="D22" i="7"/>
  <c r="D23" i="7" s="1"/>
  <c r="C22" i="7"/>
  <c r="C23" i="7" s="1"/>
  <c r="E19" i="7"/>
  <c r="E20" i="7" s="1"/>
  <c r="D19" i="7"/>
  <c r="D20" i="7" s="1"/>
  <c r="D48" i="3"/>
  <c r="F28" i="1" a="1"/>
  <c r="F28" i="1" s="1"/>
  <c r="I28" i="1" s="1"/>
  <c r="J28" i="1" s="1"/>
  <c r="F23" i="1" a="1"/>
  <c r="F23" i="1" s="1"/>
  <c r="I23" i="1" s="1"/>
  <c r="J23" i="1" s="1"/>
  <c r="F24" i="1" a="1"/>
  <c r="F24" i="1" s="1"/>
  <c r="I24" i="1" s="1"/>
  <c r="J24" i="1" s="1"/>
  <c r="F25" i="1" a="1"/>
  <c r="F25" i="1" s="1"/>
  <c r="I25" i="1" s="1"/>
  <c r="J25" i="1" s="1"/>
  <c r="F26" i="1" a="1"/>
  <c r="F26" i="1" s="1"/>
  <c r="I26" i="1" s="1"/>
  <c r="J26" i="1" s="1"/>
  <c r="F27" i="1" a="1"/>
  <c r="F27" i="1" s="1"/>
  <c r="I27" i="1" s="1"/>
  <c r="J27" i="1" s="1"/>
  <c r="F29" i="1" a="1"/>
  <c r="F29" i="1" s="1"/>
  <c r="I29" i="1" s="1"/>
  <c r="J29" i="1" s="1"/>
  <c r="F30" i="1" a="1"/>
  <c r="F30" i="1" s="1"/>
  <c r="I30" i="1" s="1"/>
  <c r="J30" i="1" s="1"/>
  <c r="F31" i="1" a="1"/>
  <c r="F31" i="1" s="1"/>
  <c r="I31" i="1" s="1"/>
  <c r="J31" i="1" s="1"/>
  <c r="C20" i="6" l="1"/>
  <c r="D55" i="7"/>
  <c r="D57" i="7" s="1"/>
  <c r="D67" i="7" s="1"/>
  <c r="I91" i="7" s="1"/>
  <c r="D74" i="7"/>
  <c r="D43" i="7"/>
  <c r="E43" i="7"/>
  <c r="E74" i="7"/>
  <c r="C75" i="7"/>
  <c r="C44" i="7"/>
  <c r="H40" i="7"/>
  <c r="H28" i="7" s="1"/>
  <c r="F40" i="7"/>
  <c r="F28" i="7" s="1"/>
  <c r="G40" i="7"/>
  <c r="G28" i="7" s="1"/>
  <c r="J40" i="7"/>
  <c r="J28" i="7" s="1"/>
  <c r="I40" i="7"/>
  <c r="I28" i="7" s="1"/>
  <c r="D75" i="7"/>
  <c r="D44" i="7"/>
  <c r="E44" i="7"/>
  <c r="E75" i="7"/>
  <c r="E41" i="7"/>
  <c r="E72" i="7"/>
  <c r="C41" i="7"/>
  <c r="C72" i="7"/>
  <c r="C74" i="7"/>
  <c r="C43" i="7"/>
  <c r="D41" i="7"/>
  <c r="D72" i="7"/>
  <c r="G23" i="7"/>
  <c r="I23" i="7"/>
  <c r="H23" i="7"/>
  <c r="F23" i="7"/>
  <c r="F22" i="7" s="1"/>
  <c r="J23" i="7"/>
  <c r="C71" i="7"/>
  <c r="C73" i="7"/>
  <c r="C42" i="7"/>
  <c r="D42" i="7"/>
  <c r="D73" i="7"/>
  <c r="D71" i="7"/>
  <c r="E42" i="7"/>
  <c r="E71" i="7"/>
  <c r="E73" i="7"/>
  <c r="D60" i="3"/>
  <c r="C89" i="3" s="1"/>
  <c r="C9" i="10"/>
  <c r="C41" i="6"/>
  <c r="C64" i="6"/>
  <c r="D69" i="6"/>
  <c r="E69" i="6"/>
  <c r="C43" i="6"/>
  <c r="C67" i="6"/>
  <c r="C42" i="6"/>
  <c r="C65" i="6"/>
  <c r="D41" i="6"/>
  <c r="D42" i="6"/>
  <c r="D43" i="6"/>
  <c r="E41" i="6"/>
  <c r="E42" i="6"/>
  <c r="E43" i="6"/>
  <c r="F11" i="6"/>
  <c r="F15" i="6" s="1"/>
  <c r="F75" i="6" s="1"/>
  <c r="E44" i="6"/>
  <c r="J44" i="6" s="1"/>
  <c r="D60" i="6"/>
  <c r="C89" i="6" s="1"/>
  <c r="D16" i="6"/>
  <c r="D20" i="6"/>
  <c r="D23" i="6"/>
  <c r="E16" i="6"/>
  <c r="C23" i="6"/>
  <c r="E23" i="6"/>
  <c r="F91" i="7" l="1"/>
  <c r="G91" i="7"/>
  <c r="J91" i="7"/>
  <c r="H91" i="7"/>
  <c r="C98" i="7"/>
  <c r="E76" i="7"/>
  <c r="D76" i="7"/>
  <c r="I43" i="7"/>
  <c r="I32" i="7" s="1"/>
  <c r="I74" i="7" s="1"/>
  <c r="G43" i="7"/>
  <c r="G32" i="7" s="1"/>
  <c r="G74" i="7" s="1"/>
  <c r="H43" i="7"/>
  <c r="H32" i="7" s="1"/>
  <c r="H74" i="7" s="1"/>
  <c r="J43" i="7"/>
  <c r="J32" i="7" s="1"/>
  <c r="J74" i="7" s="1"/>
  <c r="F43" i="7"/>
  <c r="F32" i="7" s="1"/>
  <c r="F74" i="7" s="1"/>
  <c r="G42" i="7"/>
  <c r="G30" i="7" s="1"/>
  <c r="I42" i="7"/>
  <c r="I30" i="7" s="1"/>
  <c r="H42" i="7"/>
  <c r="H30" i="7" s="1"/>
  <c r="J42" i="7"/>
  <c r="J30" i="7" s="1"/>
  <c r="F42" i="7"/>
  <c r="F30" i="7" s="1"/>
  <c r="G41" i="7"/>
  <c r="G29" i="7" s="1"/>
  <c r="G72" i="7" s="1"/>
  <c r="H41" i="7"/>
  <c r="H29" i="7" s="1"/>
  <c r="H72" i="7" s="1"/>
  <c r="J41" i="7"/>
  <c r="J29" i="7" s="1"/>
  <c r="J72" i="7" s="1"/>
  <c r="F41" i="7"/>
  <c r="F29" i="7" s="1"/>
  <c r="F72" i="7" s="1"/>
  <c r="I41" i="7"/>
  <c r="I29" i="7" s="1"/>
  <c r="I72" i="7" s="1"/>
  <c r="H44" i="7"/>
  <c r="H33" i="7" s="1"/>
  <c r="H75" i="7" s="1"/>
  <c r="G44" i="7"/>
  <c r="G33" i="7" s="1"/>
  <c r="G75" i="7" s="1"/>
  <c r="I44" i="7"/>
  <c r="I33" i="7" s="1"/>
  <c r="I75" i="7" s="1"/>
  <c r="J44" i="7"/>
  <c r="J33" i="7" s="1"/>
  <c r="J75" i="7" s="1"/>
  <c r="F44" i="7"/>
  <c r="F33" i="7" s="1"/>
  <c r="F75" i="7" s="1"/>
  <c r="C76" i="7"/>
  <c r="F19" i="7"/>
  <c r="G22" i="7"/>
  <c r="F87" i="7"/>
  <c r="I83" i="3"/>
  <c r="F83" i="3"/>
  <c r="J83" i="3"/>
  <c r="H83" i="3"/>
  <c r="G83" i="3"/>
  <c r="I41" i="6"/>
  <c r="I42" i="6"/>
  <c r="G42" i="6"/>
  <c r="J42" i="6"/>
  <c r="H42" i="6"/>
  <c r="C69" i="6"/>
  <c r="F42" i="6"/>
  <c r="F30" i="6" s="1"/>
  <c r="F65" i="6" s="1"/>
  <c r="G11" i="6"/>
  <c r="G74" i="6" s="1"/>
  <c r="J41" i="6"/>
  <c r="H41" i="6"/>
  <c r="F41" i="6"/>
  <c r="F29" i="6" s="1"/>
  <c r="F64" i="6" s="1"/>
  <c r="G41" i="6"/>
  <c r="G43" i="6"/>
  <c r="H44" i="6"/>
  <c r="G44" i="6"/>
  <c r="F44" i="6"/>
  <c r="F81" i="6" s="1"/>
  <c r="I44" i="6"/>
  <c r="H43" i="6"/>
  <c r="I43" i="6"/>
  <c r="F43" i="6"/>
  <c r="F33" i="6" s="1"/>
  <c r="F67" i="6" s="1"/>
  <c r="J43" i="6"/>
  <c r="F74" i="6"/>
  <c r="H83" i="6"/>
  <c r="I83" i="6"/>
  <c r="F83" i="6"/>
  <c r="G83" i="6"/>
  <c r="J83" i="6"/>
  <c r="H23" i="6"/>
  <c r="I23" i="6"/>
  <c r="J23" i="6"/>
  <c r="F23" i="6"/>
  <c r="F22" i="6" s="1"/>
  <c r="F79" i="6" s="1"/>
  <c r="G23" i="6"/>
  <c r="I71" i="7" l="1"/>
  <c r="I73" i="7"/>
  <c r="G73" i="7"/>
  <c r="G71" i="7"/>
  <c r="H22" i="7"/>
  <c r="G87" i="7"/>
  <c r="G19" i="7"/>
  <c r="F20" i="7"/>
  <c r="F84" i="7"/>
  <c r="F86" i="7" s="1"/>
  <c r="F73" i="7"/>
  <c r="F71" i="7"/>
  <c r="J71" i="7"/>
  <c r="J73" i="7"/>
  <c r="H71" i="7"/>
  <c r="H73" i="7"/>
  <c r="F69" i="6"/>
  <c r="F80" i="6" s="1"/>
  <c r="F19" i="6"/>
  <c r="F76" i="6" s="1"/>
  <c r="F78" i="6" s="1"/>
  <c r="F82" i="6" s="1"/>
  <c r="F84" i="6" s="1"/>
  <c r="G33" i="6"/>
  <c r="G67" i="6" s="1"/>
  <c r="G15" i="6"/>
  <c r="G75" i="6" s="1"/>
  <c r="G30" i="6"/>
  <c r="G65" i="6" s="1"/>
  <c r="G81" i="6"/>
  <c r="H11" i="6"/>
  <c r="H22" i="6" s="1"/>
  <c r="H79" i="6" s="1"/>
  <c r="G22" i="6"/>
  <c r="G79" i="6" s="1"/>
  <c r="G29" i="6"/>
  <c r="G64" i="6" s="1"/>
  <c r="G76" i="7" l="1"/>
  <c r="J76" i="7"/>
  <c r="F76" i="7"/>
  <c r="F88" i="7" s="1"/>
  <c r="F90" i="7" s="1"/>
  <c r="F92" i="7" s="1"/>
  <c r="G84" i="7"/>
  <c r="G86" i="7" s="1"/>
  <c r="G20" i="7"/>
  <c r="I22" i="7"/>
  <c r="H19" i="7"/>
  <c r="H87" i="7"/>
  <c r="H76" i="7"/>
  <c r="I76" i="7"/>
  <c r="I88" i="7" s="1"/>
  <c r="H81" i="6"/>
  <c r="H29" i="6"/>
  <c r="H64" i="6" s="1"/>
  <c r="H74" i="6"/>
  <c r="H30" i="6"/>
  <c r="H65" i="6" s="1"/>
  <c r="G69" i="6"/>
  <c r="G80" i="6" s="1"/>
  <c r="F20" i="6"/>
  <c r="H33" i="6"/>
  <c r="H67" i="6" s="1"/>
  <c r="G19" i="6"/>
  <c r="G76" i="6" s="1"/>
  <c r="G78" i="6" s="1"/>
  <c r="I11" i="6"/>
  <c r="I74" i="6" s="1"/>
  <c r="H15" i="6"/>
  <c r="H75" i="6" s="1"/>
  <c r="H88" i="7" l="1"/>
  <c r="G88" i="7"/>
  <c r="G90" i="7" s="1"/>
  <c r="G92" i="7" s="1"/>
  <c r="H84" i="7"/>
  <c r="H86" i="7" s="1"/>
  <c r="H20" i="7"/>
  <c r="I87" i="7"/>
  <c r="I19" i="7"/>
  <c r="J22" i="7"/>
  <c r="J88" i="7"/>
  <c r="H69" i="6"/>
  <c r="H80" i="6" s="1"/>
  <c r="G20" i="6"/>
  <c r="G82" i="6"/>
  <c r="G84" i="6" s="1"/>
  <c r="H19" i="6"/>
  <c r="H76" i="6" s="1"/>
  <c r="H78" i="6" s="1"/>
  <c r="I15" i="6"/>
  <c r="I75" i="6" s="1"/>
  <c r="J11" i="6"/>
  <c r="J33" i="6" s="1"/>
  <c r="J67" i="6" s="1"/>
  <c r="I29" i="6"/>
  <c r="I64" i="6" s="1"/>
  <c r="I33" i="6"/>
  <c r="I67" i="6" s="1"/>
  <c r="I81" i="6"/>
  <c r="I22" i="6"/>
  <c r="I79" i="6" s="1"/>
  <c r="I30" i="6"/>
  <c r="I65" i="6" s="1"/>
  <c r="D45" i="3"/>
  <c r="E45" i="3"/>
  <c r="H90" i="7" l="1"/>
  <c r="H92" i="7" s="1"/>
  <c r="J87" i="7"/>
  <c r="J19" i="7"/>
  <c r="I84" i="7"/>
  <c r="I86" i="7" s="1"/>
  <c r="I90" i="7" s="1"/>
  <c r="I92" i="7" s="1"/>
  <c r="I20" i="7"/>
  <c r="H20" i="6"/>
  <c r="J30" i="6"/>
  <c r="J65" i="6" s="1"/>
  <c r="H82" i="6"/>
  <c r="H84" i="6" s="1"/>
  <c r="I69" i="6"/>
  <c r="I80" i="6" s="1"/>
  <c r="J29" i="6"/>
  <c r="J64" i="6" s="1"/>
  <c r="J74" i="6"/>
  <c r="J81" i="6"/>
  <c r="J15" i="6"/>
  <c r="J75" i="6" s="1"/>
  <c r="J22" i="6"/>
  <c r="J79" i="6" s="1"/>
  <c r="I19" i="6"/>
  <c r="I76" i="6" s="1"/>
  <c r="I78" i="6" s="1"/>
  <c r="F45" i="3"/>
  <c r="F81" i="3" s="1"/>
  <c r="F82" i="3" s="1"/>
  <c r="F84" i="3" s="1"/>
  <c r="G45" i="3"/>
  <c r="G81" i="3" s="1"/>
  <c r="G82" i="3" s="1"/>
  <c r="G84" i="3" s="1"/>
  <c r="I45" i="3"/>
  <c r="I81" i="3" s="1"/>
  <c r="I82" i="3" s="1"/>
  <c r="I84" i="3" s="1"/>
  <c r="H45" i="3"/>
  <c r="H81" i="3" s="1"/>
  <c r="H82" i="3" s="1"/>
  <c r="H84" i="3" s="1"/>
  <c r="J45" i="3"/>
  <c r="J81" i="3" s="1"/>
  <c r="J82" i="3" s="1"/>
  <c r="J84" i="7" l="1"/>
  <c r="J86" i="7" s="1"/>
  <c r="J90" i="7" s="1"/>
  <c r="J20" i="7"/>
  <c r="J19" i="6"/>
  <c r="J20" i="6" s="1"/>
  <c r="I20" i="6"/>
  <c r="J69" i="6"/>
  <c r="J80" i="6" s="1"/>
  <c r="J84" i="3"/>
  <c r="C85" i="3" s="1"/>
  <c r="C90" i="3"/>
  <c r="C91" i="3" s="1"/>
  <c r="C92" i="3" s="1"/>
  <c r="I82" i="6"/>
  <c r="I84" i="6" s="1"/>
  <c r="C99" i="7" l="1"/>
  <c r="C100" i="7" s="1"/>
  <c r="C101" i="7" s="1"/>
  <c r="J92" i="7"/>
  <c r="C93" i="7" s="1"/>
  <c r="J76" i="6"/>
  <c r="J78" i="6" s="1"/>
  <c r="J82" i="6" s="1"/>
  <c r="C90" i="6" s="1"/>
  <c r="C94" i="3"/>
  <c r="C96" i="3" s="1"/>
  <c r="C104" i="7" l="1"/>
  <c r="C106" i="7" s="1"/>
  <c r="C108" i="7" s="1"/>
  <c r="E7" i="2" s="1"/>
  <c r="F7" i="2" s="1"/>
  <c r="C98" i="3"/>
  <c r="E5" i="2" s="1"/>
  <c r="F5" i="2" s="1"/>
  <c r="C5" i="2"/>
  <c r="C91" i="6"/>
  <c r="C92" i="6" s="1"/>
  <c r="J84" i="6"/>
  <c r="C85" i="6" s="1"/>
  <c r="C7" i="2" l="1"/>
  <c r="C94" i="6"/>
  <c r="C96" i="6" s="1"/>
  <c r="C98" i="6" l="1"/>
  <c r="E6" i="2" s="1"/>
  <c r="F6" i="2" s="1"/>
  <c r="C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Lorenzoo</author>
  </authors>
  <commentList>
    <comment ref="E15" authorId="0" shapeId="0" xr:uid="{CD0F2A9E-2A53-495B-B89B-DB4717D36F2F}">
      <text>
        <r>
          <rPr>
            <b/>
            <sz val="9"/>
            <color indexed="81"/>
            <rFont val="Tahoma"/>
            <family val="2"/>
          </rPr>
          <t>Lorenzoo:</t>
        </r>
        <r>
          <rPr>
            <sz val="9"/>
            <color indexed="81"/>
            <rFont val="Tahoma"/>
            <family val="2"/>
          </rPr>
          <t xml:space="preserve">
Not significant due to negative EBITDA</t>
        </r>
      </text>
    </comment>
    <comment ref="E17" authorId="0" shapeId="0" xr:uid="{0779350A-3FD6-49F5-865D-D4A757D60690}">
      <text>
        <r>
          <rPr>
            <b/>
            <sz val="9"/>
            <color indexed="81"/>
            <rFont val="Tahoma"/>
            <family val="2"/>
          </rPr>
          <t>Lorenzoo:</t>
        </r>
        <r>
          <rPr>
            <sz val="9"/>
            <color indexed="81"/>
            <rFont val="Tahoma"/>
            <family val="2"/>
          </rPr>
          <t xml:space="preserve">
Not significant due to negative EBITDA</t>
        </r>
      </text>
    </comment>
    <comment ref="B19" authorId="0" shapeId="0" xr:uid="{BC106401-ABA1-41FC-B62E-FCA95AD17695}">
      <text>
        <r>
          <rPr>
            <b/>
            <sz val="9"/>
            <color indexed="81"/>
            <rFont val="Tahoma"/>
            <family val="2"/>
          </rPr>
          <t>Lorenzoo:</t>
        </r>
        <r>
          <rPr>
            <sz val="9"/>
            <color indexed="81"/>
            <rFont val="Tahoma"/>
            <family val="2"/>
          </rPr>
          <t xml:space="preserve">
Source: Damoradan Multiples apparel insustry</t>
        </r>
      </text>
    </comment>
    <comment ref="C22" authorId="0" shapeId="0" xr:uid="{004AC473-600B-4959-B963-FF41A2FAA3A6}">
      <text>
        <r>
          <rPr>
            <b/>
            <sz val="9"/>
            <color indexed="81"/>
            <rFont val="Tahoma"/>
            <family val="2"/>
          </rPr>
          <t>Lorenzoo:</t>
        </r>
        <r>
          <rPr>
            <sz val="9"/>
            <color indexed="81"/>
            <rFont val="Tahoma"/>
            <family val="2"/>
          </rPr>
          <t xml:space="preserve">
(%) Leather goods sales:
&gt;50% = 5
30% - 50% = 4
15% - 30% = 3
5% - 15% = 2
&gt;5% = 1</t>
        </r>
      </text>
    </comment>
    <comment ref="D22" authorId="0" shapeId="0" xr:uid="{22D550C2-227F-4A5F-9D83-1E12DCC47F74}">
      <text>
        <r>
          <rPr>
            <b/>
            <sz val="9"/>
            <color indexed="81"/>
            <rFont val="Tahoma"/>
            <family val="2"/>
          </rPr>
          <t>Lorenzoo:</t>
        </r>
        <r>
          <rPr>
            <sz val="9"/>
            <color indexed="81"/>
            <rFont val="Tahoma"/>
            <family val="2"/>
          </rPr>
          <t xml:space="preserve">
5 = zero seasonality
4 = low seasonality
3 = moderate seasonality
2 = medium-high seasonality
1 = high seasonality</t>
        </r>
      </text>
    </comment>
    <comment ref="E22" authorId="0" shapeId="0" xr:uid="{9D7E3482-7563-4BAC-8A6E-3C65A7F326C8}">
      <text>
        <r>
          <rPr>
            <b/>
            <sz val="9"/>
            <color indexed="81"/>
            <rFont val="Tahoma"/>
            <family val="2"/>
          </rPr>
          <t>Lorenzoo:</t>
        </r>
        <r>
          <rPr>
            <sz val="9"/>
            <color indexed="81"/>
            <rFont val="Tahoma"/>
            <family val="2"/>
          </rPr>
          <t xml:space="preserve">
5 = Ultra luxury
4 = Luxury
3 = Premium luxury
2 = Premium
1 = Mass market
</t>
        </r>
      </text>
    </comment>
    <comment ref="F22" authorId="0" shapeId="0" xr:uid="{4E8D6DCD-8B4D-45F2-8DBD-3B8C3B69EFD0}">
      <text>
        <r>
          <rPr>
            <b/>
            <sz val="9"/>
            <color indexed="81"/>
            <rFont val="Tahoma"/>
            <family val="2"/>
          </rPr>
          <t>Lorenzoo:</t>
        </r>
        <r>
          <rPr>
            <sz val="9"/>
            <color indexed="81"/>
            <rFont val="Tahoma"/>
            <family val="2"/>
          </rPr>
          <t xml:space="preserve">
5 = EV &lt; 10% Moncler
4 = EV 10% - 20% Moncler
3 = EV 25% - 40% Moncler
2 = EV 40% - 60% Moncler
1 = EV &gt; 60% Moncler</t>
        </r>
      </text>
    </comment>
    <comment ref="I22" authorId="0" shapeId="0" xr:uid="{AEC05763-ECE1-47D2-93FC-0C7709C59027}">
      <text>
        <r>
          <rPr>
            <b/>
            <sz val="9"/>
            <color indexed="81"/>
            <rFont val="Tahoma"/>
            <family val="2"/>
          </rPr>
          <t>Lorenzoo:</t>
        </r>
        <r>
          <rPr>
            <sz val="9"/>
            <color indexed="81"/>
            <rFont val="Tahoma"/>
            <family val="2"/>
          </rPr>
          <t xml:space="preserve">
Overall fit = 0,25 LGE + 0,25 SC + 0,20 BP + 0,15 AF + 0,15 GR</t>
        </r>
      </text>
    </comment>
    <comment ref="C24" authorId="0" shapeId="0" xr:uid="{7CAD5A1C-C262-4DE9-AB33-7B5BA39B53CA}">
      <text>
        <r>
          <rPr>
            <b/>
            <sz val="9"/>
            <color indexed="81"/>
            <rFont val="Tahoma"/>
            <family val="2"/>
          </rPr>
          <t>Lorenzoo:</t>
        </r>
        <r>
          <rPr>
            <sz val="9"/>
            <color indexed="81"/>
            <rFont val="Tahoma"/>
            <family val="2"/>
          </rPr>
          <t xml:space="preserve">
Leather goods and accessories present but not core revenue driver; business primarily focused on luxury menswear.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<sst xmlns="http://schemas.openxmlformats.org/spreadsheetml/2006/main" count="509" uniqueCount="225">
  <si>
    <t>Moncler S.p.A (BIT: MONC) - Strategic Expansion Into Luxury Leather Goods</t>
  </si>
  <si>
    <t>Market Screening &amp; Long - List Analysis</t>
  </si>
  <si>
    <t>Date: June 2026 - Prepared by Lorenzo Grimaldi</t>
  </si>
  <si>
    <t>Identification and evaluation of potential acquisition targets to strengthen  Moncler's exposure to the luxury leather goods segment.</t>
  </si>
  <si>
    <t>Company</t>
  </si>
  <si>
    <t>Salvatore Ferragamo S.p.A (BIT: SFER)</t>
  </si>
  <si>
    <t>Ermenegildo Zegna (NYSE: ZGN)</t>
  </si>
  <si>
    <t>Brunello Culcinelli S.p.A. (BIT: BC)</t>
  </si>
  <si>
    <t>Capri Holdings Limited (NYSE: CPRI)</t>
  </si>
  <si>
    <t>Aeffe S.p.A. (BIT: AEF)</t>
  </si>
  <si>
    <t>Piquadro S.p.A. (BIT: PQ)</t>
  </si>
  <si>
    <t>Lanvin Group Holdings Limited (NYSE: LANV)</t>
  </si>
  <si>
    <t>Mulberry Group plc (AIM: MUL)</t>
  </si>
  <si>
    <t>Financial Screening</t>
  </si>
  <si>
    <t>Strategic Fit</t>
  </si>
  <si>
    <t>EV (€M)</t>
  </si>
  <si>
    <t>EV/EBITDA</t>
  </si>
  <si>
    <t>Gross Margin</t>
  </si>
  <si>
    <t>Revenue FY 2025 (€M)</t>
  </si>
  <si>
    <t>Leather Goods Exposure</t>
  </si>
  <si>
    <t>Seasonalibility Complement</t>
  </si>
  <si>
    <t xml:space="preserve">Brand Positioning </t>
  </si>
  <si>
    <t>Acquisition Feasibility</t>
  </si>
  <si>
    <t>Overall Fit</t>
  </si>
  <si>
    <r>
      <t>Market Cap (</t>
    </r>
    <r>
      <rPr>
        <b/>
        <sz val="11"/>
        <color theme="1"/>
        <rFont val="Aptos Narrow"/>
        <family val="2"/>
      </rPr>
      <t>€M)</t>
    </r>
  </si>
  <si>
    <t>18,24x</t>
  </si>
  <si>
    <t>15,04x</t>
  </si>
  <si>
    <t>15,79x</t>
  </si>
  <si>
    <t>17,54x</t>
  </si>
  <si>
    <t>10,38x</t>
  </si>
  <si>
    <t>10,51x</t>
  </si>
  <si>
    <t>(4)x</t>
  </si>
  <si>
    <t>(10)x</t>
  </si>
  <si>
    <t>Burberry Group plc</t>
  </si>
  <si>
    <t>9,53x</t>
  </si>
  <si>
    <t>Moncler S.p.A.</t>
  </si>
  <si>
    <t>11,13x</t>
  </si>
  <si>
    <t>Industry Average</t>
  </si>
  <si>
    <t>15,23x</t>
  </si>
  <si>
    <t>Governance Risk</t>
  </si>
  <si>
    <t xml:space="preserve">Burberry Group plc </t>
  </si>
  <si>
    <t>Recommend</t>
  </si>
  <si>
    <t>Not recommend</t>
  </si>
  <si>
    <t>Salvatore Ferragamo S.p.A.</t>
  </si>
  <si>
    <t>Piquadro S.p.A.</t>
  </si>
  <si>
    <t>Mulberry Group plc</t>
  </si>
  <si>
    <t>Short List</t>
  </si>
  <si>
    <t>Despite passing the quantitative screening, 
Piquadro is eliminated at the short list stage due to structural acquisition barriers. The founder-led ownership structure and absence of any public indication of willingness to engage in M&amp;A discussions suggest a prolonged negotiation process and a materially higher acquisition premium relative to peers, reducing the risk-adjusted return of the transaction.</t>
  </si>
  <si>
    <t>Salvatore Ferragamo S.p.A. -  DCF Valuation</t>
  </si>
  <si>
    <t>Valuation Date</t>
  </si>
  <si>
    <t>June 2026</t>
  </si>
  <si>
    <t>Current Share Price</t>
  </si>
  <si>
    <r>
      <t>Number of public share (</t>
    </r>
    <r>
      <rPr>
        <sz val="11"/>
        <color theme="1"/>
        <rFont val="Aptos Narrow"/>
        <family val="2"/>
      </rPr>
      <t>€M)</t>
    </r>
  </si>
  <si>
    <t>Revenue</t>
  </si>
  <si>
    <t>Revenue Growth Rate (%)</t>
  </si>
  <si>
    <t>EBITDA</t>
  </si>
  <si>
    <t>EBITDA Margin</t>
  </si>
  <si>
    <t>EBIT</t>
  </si>
  <si>
    <t>EBIT Margin (%)</t>
  </si>
  <si>
    <t>Depreciation &amp; Amortization</t>
  </si>
  <si>
    <t>D&amp;A as a % of Revenue</t>
  </si>
  <si>
    <t>Select Operating Data</t>
  </si>
  <si>
    <t>Select Balance Sheet &amp; Other Data</t>
  </si>
  <si>
    <t>Cash</t>
  </si>
  <si>
    <t>Inventories</t>
  </si>
  <si>
    <t>Prepaid Expenses</t>
  </si>
  <si>
    <t>Accounts Payable</t>
  </si>
  <si>
    <t>Accrued Expenses</t>
  </si>
  <si>
    <t>Debt</t>
  </si>
  <si>
    <t>Gross PP&amp;E (Increases annually be capex)</t>
  </si>
  <si>
    <t>Free Cash Flow Buildup</t>
  </si>
  <si>
    <t>€mm</t>
  </si>
  <si>
    <t>Period</t>
  </si>
  <si>
    <t>Total Revenues</t>
  </si>
  <si>
    <t xml:space="preserve">EBIT </t>
  </si>
  <si>
    <t>Tax Rate</t>
  </si>
  <si>
    <t>EBIAT</t>
  </si>
  <si>
    <t>Accounts Recevable</t>
  </si>
  <si>
    <t>Capital Expenditures</t>
  </si>
  <si>
    <t>Unlevered Free Cash Flows</t>
  </si>
  <si>
    <t xml:space="preserve">    Present Value of free cash flows</t>
  </si>
  <si>
    <t>Sum of present values of FCFs</t>
  </si>
  <si>
    <t>WACC</t>
  </si>
  <si>
    <t>Share Price</t>
  </si>
  <si>
    <t>Dilueted Shares Outstanding</t>
  </si>
  <si>
    <t>Cost of debt</t>
  </si>
  <si>
    <t>Tax rate</t>
  </si>
  <si>
    <t>After tax cost of debt</t>
  </si>
  <si>
    <t>Cost of equity</t>
  </si>
  <si>
    <t>Total debt</t>
  </si>
  <si>
    <t>Total equity</t>
  </si>
  <si>
    <t xml:space="preserve">    Total Capital</t>
  </si>
  <si>
    <t>Debt Weighting</t>
  </si>
  <si>
    <t>Equity Weighting</t>
  </si>
  <si>
    <t>Terminal Value</t>
  </si>
  <si>
    <t>Growth in perpetuity method:</t>
  </si>
  <si>
    <t>Long term growth rate</t>
  </si>
  <si>
    <t>Free cash flow (t+1)</t>
  </si>
  <si>
    <t>Enterprise Value to Equity Value</t>
  </si>
  <si>
    <t>Enterprise Value</t>
  </si>
  <si>
    <t>Net Debt (-)</t>
  </si>
  <si>
    <t>Equity Value</t>
  </si>
  <si>
    <t>FY2024</t>
  </si>
  <si>
    <t>FY2023</t>
  </si>
  <si>
    <t>FY2025</t>
  </si>
  <si>
    <t>FY2026</t>
  </si>
  <si>
    <t>FY2027</t>
  </si>
  <si>
    <t>FY2028</t>
  </si>
  <si>
    <t>FY2029</t>
  </si>
  <si>
    <t>FY2030</t>
  </si>
  <si>
    <t>WACC =</t>
  </si>
  <si>
    <t xml:space="preserve">  Projected Annual Forecast</t>
  </si>
  <si>
    <r>
      <t xml:space="preserve">    Discount Rate </t>
    </r>
    <r>
      <rPr>
        <i/>
        <sz val="11"/>
        <color theme="1"/>
        <rFont val="Aptos Narrow"/>
        <family val="2"/>
        <scheme val="minor"/>
      </rPr>
      <t>(WACC)</t>
    </r>
  </si>
  <si>
    <t>Equity Value per Share</t>
  </si>
  <si>
    <t>Burberry Group plc -  DCF Valuation</t>
  </si>
  <si>
    <r>
      <t>Number of public share (</t>
    </r>
    <r>
      <rPr>
        <sz val="11"/>
        <color theme="1"/>
        <rFont val="Aptos Narrow"/>
        <family val="2"/>
      </rPr>
      <t>M)</t>
    </r>
  </si>
  <si>
    <t>Interest Expenses</t>
  </si>
  <si>
    <t>Beta Levered</t>
  </si>
  <si>
    <t>Present value of terminal value</t>
  </si>
  <si>
    <t>Accounts Payable % of revenue</t>
  </si>
  <si>
    <t>Inventories % revenue</t>
  </si>
  <si>
    <t>Accounts Recevable % of revenue</t>
  </si>
  <si>
    <t>Capital Expenditures % of revenue</t>
  </si>
  <si>
    <t>Inventories % of revenue</t>
  </si>
  <si>
    <t>Prepaid Expenses % of revenue</t>
  </si>
  <si>
    <t>Accrued Expenses % of revenue</t>
  </si>
  <si>
    <t>Working Capital</t>
  </si>
  <si>
    <t>Accounts Payable (-)</t>
  </si>
  <si>
    <t>Accrued Expenses (-)</t>
  </si>
  <si>
    <t>Variation of Working Capital</t>
  </si>
  <si>
    <t>Variation of working capital</t>
  </si>
  <si>
    <t xml:space="preserve">Variation of working capital </t>
  </si>
  <si>
    <t>Moncler S.p.A (BIT: MONC) - Target Recommendation</t>
  </si>
  <si>
    <t>Ferragamo</t>
  </si>
  <si>
    <t>Burberry</t>
  </si>
  <si>
    <t>Mulberry</t>
  </si>
  <si>
    <t>Equity DCF Value</t>
  </si>
  <si>
    <t>Target Price</t>
  </si>
  <si>
    <t>Upside/Downside</t>
  </si>
  <si>
    <t>Outcome</t>
  </si>
  <si>
    <r>
      <t>Summary Recap (</t>
    </r>
    <r>
      <rPr>
        <b/>
        <sz val="14"/>
        <color theme="0"/>
        <rFont val="Aptos Narrow"/>
        <family val="2"/>
      </rPr>
      <t>€mm)</t>
    </r>
  </si>
  <si>
    <t>Not Recommend</t>
  </si>
  <si>
    <t>Exclusion Rationally</t>
  </si>
  <si>
    <t>Recommended Target</t>
  </si>
  <si>
    <t>Rational</t>
  </si>
  <si>
    <t>Investment Thesis</t>
  </si>
  <si>
    <t>Market Price</t>
  </si>
  <si>
    <t>Maximum premium</t>
  </si>
  <si>
    <t>Minimum Price per Share</t>
  </si>
  <si>
    <t xml:space="preserve"> Maximum Price per Share</t>
  </si>
  <si>
    <t>Minimum total price</t>
  </si>
  <si>
    <t>Maximum total price</t>
  </si>
  <si>
    <t>Minimum Premium</t>
  </si>
  <si>
    <t>Ferragamo operates primarily in the luxury leather goods segment, a category with limited seasonality exposure. An acquisition would allow Moncler to diversify its revenue base beyond outerwear. Ferragamo S.p.A is the best target thanks to an Enterprise Value that is less than the Enterprise Value of Moncler, the management is available to sell and the company has an important brand on the leather goods segment. The DCF model shows that Ferragamo operate at fair value, so the premium for the acquisition could be less than the other companies. However Ferragamo is undergoing a strategic positioning under new management, with revenue stabilizing and Margin expected to recover to the historical levels. This creates an acquisition opportunity, as the current valuation does not yet fully reflect the potential of the ongoing operational turnaround. Key risk remains the execution of the ongoing repositioning strategy, which Moncler can mitigate through its operational expertise in luxury brand management.</t>
  </si>
  <si>
    <t>Despite a DCF upside of 36.86%, Burberry is excluded due to its total equity value of €6.2B, which would require Moncler to undertake significant debt financing to complete the acquisition</t>
  </si>
  <si>
    <t>Mulberry, despite the feasibility of the acquisition, because the management want to sell and the value of the company does not require a significant debt operation for Moncler, is excluded due to the low margins and because the brand does not meet Moncler's brand equity standard.</t>
  </si>
  <si>
    <t>Salvatore Ferragamo S.p.A. - Due Diligence</t>
  </si>
  <si>
    <t>Quality of Earnings</t>
  </si>
  <si>
    <t>Working Capital Analysis</t>
  </si>
  <si>
    <t xml:space="preserve">Net Debt Analysis </t>
  </si>
  <si>
    <t>Capex normalized</t>
  </si>
  <si>
    <t>Tax Analysis</t>
  </si>
  <si>
    <t>Area</t>
  </si>
  <si>
    <t>Key Finding</t>
  </si>
  <si>
    <t>Supporting Data</t>
  </si>
  <si>
    <t>Risk Level</t>
  </si>
  <si>
    <t>Operating cost base was misaligned with declining revenues in FY2024 (distribution costs +10% vs. revenue -10%), followed by an aggressive cost-cutting program in FY2025 (-14%) under new management, indicating an active but still unproven turnaround.</t>
  </si>
  <si>
    <t>Sales &amp; distribution costs: €454.6M (FY2023) → €496.5M (FY2024, +9.2%) → €427.3M (FY2025, -13.9%)</t>
  </si>
  <si>
    <t>Medium</t>
  </si>
  <si>
    <t>Inventories as % of revenue increased and 
remained elevated despite declining sales, signaling slower inventory turnover. This creates risk of future markdown activity to clear aged stock, with potential negative impact on gross margin rather than top-line revenue.</t>
  </si>
  <si>
    <r>
      <t xml:space="preserve">Inventories as % of revenue: 25,81% (FY2023) </t>
    </r>
    <r>
      <rPr>
        <sz val="11"/>
        <color theme="1"/>
        <rFont val="Aptos Narrow"/>
        <family val="2"/>
      </rPr>
      <t>→  29,75% (FY2024) → 28,53% (FY2025)</t>
    </r>
  </si>
  <si>
    <t>Medium  - High</t>
  </si>
  <si>
    <t>Group faces routine tax/customs audits in Japan (concluded, ~€958K paid), South Korea (ongoing, transfer pricing review) and France (ongoing, FY2021-2024). Management assesses risk of unfavorable outcome as 'no more than possible' — standard multinational tax exposure, not a material transaction risk.</t>
  </si>
  <si>
    <t>Low</t>
  </si>
  <si>
    <t>Note 23 and note 52</t>
  </si>
  <si>
    <t>Capex declined 35% YoY (FY2024-FY2025) against a 5.7% revenue decline, suggesting investment cuts beyond what revenue contraction alone would justify. Annual report does not disclose capex breakdown by category (store renovation, IT, logistics), limiting visibility into whether reductions affect maintenance or growth investments. Risk of underinvestment in retail network requires further due diligence access to internal capex planning.</t>
  </si>
  <si>
    <t>Capex: €61.3M (FY2024) → €39.6M (FY2025), -35.4%. Revenue: -5.7% over same period.</t>
  </si>
  <si>
    <t>Group benefits from Advance Pricing Agreements with Italian and US tax authorities (effective through 2026/2028), reducing transfer pricing risk. Losses appear concentrated in operating subsidiaries rather than the Italian parent company, which remains profitable at standalone level — consistent with the geographic/retail-level nature of the operational downturn identified in the Quality of Earnings analysis.</t>
  </si>
  <si>
    <t>Note 41</t>
  </si>
  <si>
    <t>Moncler S.p.A. - Sources &amp; Uses</t>
  </si>
  <si>
    <t>Total Sources</t>
  </si>
  <si>
    <t>Total Uses</t>
  </si>
  <si>
    <t>Uses (€mm)</t>
  </si>
  <si>
    <t>Purchase of equity</t>
  </si>
  <si>
    <t>Refinancing of existing debt</t>
  </si>
  <si>
    <t>Transaction fees</t>
  </si>
  <si>
    <t>New Debt</t>
  </si>
  <si>
    <t>Existing Ferragamo debt (€104M) assumed to remain outstanding post-acquisition, 
not refinanced at closing, given its modest size and favorable terms relative to potential new financing costs.</t>
  </si>
  <si>
    <t>Moncler S.p.A. - Accretion or Dilution model</t>
  </si>
  <si>
    <t>Standalone Moncler Net Income</t>
  </si>
  <si>
    <t>(+) Ferragamo Net Income</t>
  </si>
  <si>
    <t>(-) After Tax Interest Cost</t>
  </si>
  <si>
    <t>(-) After Tax Lost Interest Income</t>
  </si>
  <si>
    <t>Pro Forma Combined Net Income</t>
  </si>
  <si>
    <t>(/) Shares Outstanding Moncler</t>
  </si>
  <si>
    <t>Pro Forma EPS</t>
  </si>
  <si>
    <t>Standalone EPS</t>
  </si>
  <si>
    <t>Accretion/(Dilution)</t>
  </si>
  <si>
    <t>Moncler S.p.A. - Synergies</t>
  </si>
  <si>
    <t>G&amp;A Overlap</t>
  </si>
  <si>
    <t>Synergy Type</t>
  </si>
  <si>
    <t>Procurement</t>
  </si>
  <si>
    <t>COGS</t>
  </si>
  <si>
    <t xml:space="preserve">G&amp;A </t>
  </si>
  <si>
    <t>Moncler</t>
  </si>
  <si>
    <t>Base</t>
  </si>
  <si>
    <t>% Applied</t>
  </si>
  <si>
    <t>Annual Value</t>
  </si>
  <si>
    <t>Rationale</t>
  </si>
  <si>
    <t>Elimination of duplicate corporate funcionts</t>
  </si>
  <si>
    <t>Total</t>
  </si>
  <si>
    <t>Revenue synergies not quantified due to high execution uncertainty.  Potential upside from cross-selling through combined retail network not included in base case.</t>
  </si>
  <si>
    <t>Synergies assumed to be fully realized by Year 3,  with 33% realization in Year 1, 67% in Year 2, and 100% from Year 3 onwards.</t>
  </si>
  <si>
    <t>Base Data</t>
  </si>
  <si>
    <r>
      <t>Sources (</t>
    </r>
    <r>
      <rPr>
        <b/>
        <sz val="14"/>
        <color theme="0"/>
        <rFont val="Aptos Narrow"/>
        <family val="2"/>
      </rPr>
      <t>€mm)</t>
    </r>
  </si>
  <si>
    <t>(+) Annual Synegies after tax</t>
  </si>
  <si>
    <t>The acquisition is expected to be dilutive in Year 1 (-5.77%) due to Ferragamo's ongoing operational turnaround and current negative net income. However, accretion is expected from Year 3 onwards as Ferragamo's margins recover toward historical levels and cost synergies of €29.4M per annum materialize fully. Management's decision to proceed would be contingent on the long-term strategic value of the acquisition exceeding the short-term EPS dilution.</t>
  </si>
  <si>
    <t>Mulberry Group plc -  DCF Valuation</t>
  </si>
  <si>
    <t>Combined purchasing power with shared italian suppliers</t>
  </si>
  <si>
    <t xml:space="preserve">This document is an academic simulation prepared for portfolio purposes only, prepared under academic supervision. It does not constitute investment advice or a recommendation to buy or sell securities. </t>
  </si>
  <si>
    <r>
      <rPr>
        <b/>
        <sz val="11"/>
        <color theme="1"/>
        <rFont val="Aptos Narrow"/>
        <family val="2"/>
        <scheme val="minor"/>
      </rPr>
      <t>Financial data</t>
    </r>
    <r>
      <rPr>
        <sz val="11"/>
        <color theme="1"/>
        <rFont val="Aptos Narrow"/>
        <family val="2"/>
        <scheme val="minor"/>
      </rPr>
      <t xml:space="preserve">: S&amp;P Global Capital IQ and Company Filings
</t>
    </r>
    <r>
      <rPr>
        <b/>
        <sz val="11"/>
        <color theme="1"/>
        <rFont val="Aptos Narrow"/>
        <family val="2"/>
        <scheme val="minor"/>
      </rPr>
      <t>Valuation assumptions</t>
    </r>
    <r>
      <rPr>
        <sz val="11"/>
        <color theme="1"/>
        <rFont val="Aptos Narrow"/>
        <family val="2"/>
        <scheme val="minor"/>
      </rPr>
      <t xml:space="preserve">: Damodaran Online, management guidance and analyst consensus estimates
</t>
    </r>
    <r>
      <rPr>
        <b/>
        <sz val="11"/>
        <color theme="1"/>
        <rFont val="Aptos Narrow"/>
        <family val="2"/>
        <scheme val="minor"/>
      </rPr>
      <t>Historical financial statements</t>
    </r>
    <r>
      <rPr>
        <sz val="11"/>
        <color theme="1"/>
        <rFont val="Aptos Narrow"/>
        <family val="2"/>
        <scheme val="minor"/>
      </rPr>
      <t>: Company Annual Reports and Stock Analysis.</t>
    </r>
  </si>
  <si>
    <t>Moncler S.p.A. - Short List</t>
  </si>
  <si>
    <t>Cash funding assumes Moncler retains a minimum operating  cash reserve of approximately €726M (€1,226M gross cash less €500M deployed), consistent with working capital and liquidity needs of a luxury group of this scale.</t>
  </si>
  <si>
    <t xml:space="preserve">Valuation Score </t>
  </si>
  <si>
    <t>Revenue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</si>
</sst>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8" formatCode="#,##0;\(#,##0\)"/>
    <numFmt numFmtId="170" formatCode="0.00%;\(0.00\)%"/>
    <numFmt numFmtId="172" formatCode="#,##0.00;\(#,##0.00\)"/>
    <numFmt numFmtId="173" formatCode="#,##0.00\ &quot;€&quot;;\(#,##0.00\)\ &quot;€&quot;"/>
    <numFmt numFmtId="174" formatCode="#,##0.00\ &quot;€&quot;"/>
  </numFmts>
  <fonts count="20" x14ac:knownFonts="1">
    <font>
      <sz val="11"/>
      <color theme="1"/>
      <name val="Aptos Narrow"/>
      <family val="2"/>
      <scheme val="minor"/>
    </font>
    <font>
      <b/>
      <sz val="11"/>
      <color theme="1"/>
      <name val="Aptos Narrow"/>
      <family val="2"/>
      <scheme val="minor"/>
    </font>
    <font>
      <b/>
      <sz val="22"/>
      <color theme="4"/>
      <name val="Aptos Narrow"/>
      <family val="2"/>
      <scheme val="minor"/>
    </font>
    <font>
      <i/>
      <sz val="11"/>
      <color theme="0" tint="-0.499984740745262"/>
      <name val="Aptos Narrow"/>
      <family val="2"/>
      <scheme val="minor"/>
    </font>
    <font>
      <b/>
      <sz val="12"/>
      <color theme="1"/>
      <name val="Aptos Narrow"/>
      <family val="2"/>
      <scheme val="minor"/>
    </font>
    <font>
      <b/>
      <sz val="14"/>
      <color theme="1"/>
      <name val="Aptos Narrow"/>
      <family val="2"/>
      <scheme val="minor"/>
    </font>
    <font>
      <b/>
      <sz val="16"/>
      <color theme="1"/>
      <name val="Aptos Narrow"/>
      <family val="2"/>
      <scheme val="minor"/>
    </font>
    <font>
      <sz val="12"/>
      <color theme="1"/>
      <name val="Aptos Narrow"/>
      <family val="2"/>
      <scheme val="minor"/>
    </font>
    <font>
      <b/>
      <sz val="12"/>
      <color theme="0"/>
      <name val="Aptos Narrow"/>
      <family val="2"/>
      <scheme val="minor"/>
    </font>
    <font>
      <sz val="11"/>
      <color theme="1"/>
      <name val="Aptos Narrow"/>
      <family val="2"/>
    </font>
    <font>
      <b/>
      <sz val="11"/>
      <color theme="1"/>
      <name val="Aptos Narrow"/>
      <family val="2"/>
    </font>
    <font>
      <sz val="9"/>
      <color indexed="81"/>
      <name val="Tahoma"/>
      <family val="2"/>
    </font>
    <font>
      <b/>
      <sz val="9"/>
      <color indexed="81"/>
      <name val="Tahoma"/>
      <family val="2"/>
    </font>
    <font>
      <b/>
      <sz val="14"/>
      <color theme="0"/>
      <name val="Aptos Narrow"/>
      <family val="2"/>
      <scheme val="minor"/>
    </font>
    <font>
      <sz val="11"/>
      <color theme="4"/>
      <name val="Aptos Narrow"/>
      <family val="2"/>
      <scheme val="minor"/>
    </font>
    <font>
      <b/>
      <sz val="11"/>
      <color theme="4"/>
      <name val="Aptos Narrow"/>
      <family val="2"/>
      <scheme val="minor"/>
    </font>
    <font>
      <i/>
      <sz val="11"/>
      <color theme="1"/>
      <name val="Aptos Narrow"/>
      <family val="2"/>
      <scheme val="minor"/>
    </font>
    <font>
      <sz val="11"/>
      <name val="Aptos Narrow"/>
      <family val="2"/>
      <scheme val="minor"/>
    </font>
    <font>
      <i/>
      <sz val="11"/>
      <color theme="4"/>
      <name val="Aptos Narrow"/>
      <family val="2"/>
      <scheme val="minor"/>
    </font>
    <font>
      <b/>
      <sz val="14"/>
      <color theme="0"/>
      <name val="Aptos Narrow"/>
      <family val="2"/>
    </font>
  </fonts>
  <fills count="5">
    <fill>
      <patternFill patternType="none"/>
    </fill>
    <fill>
      <patternFill patternType="gray125"/>
    </fill>
    <fill>
      <patternFill patternType="solid">
        <fgColor theme="4"/>
        <bgColor indexed="64"/>
      </patternFill>
    </fill>
    <fill>
      <patternFill patternType="solid">
        <fgColor rgb="FFFFFF99"/>
        <bgColor indexed="64"/>
      </patternFill>
    </fill>
    <fill>
      <patternFill patternType="solid">
        <fgColor theme="5" tint="0.39997558519241921"/>
        <bgColor indexed="64"/>
      </patternFill>
    </fill>
  </fills>
  <borders count="2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s>
  <cellStyleXfs count="1">
    <xf numFmtId="0" fontId="0" fillId="0" borderId="0"/>
  </cellStyleXfs>
  <cellXfs count="131">
    <xf numFmtId="0" fontId="0" fillId="0" borderId="0" xfId="0"/>
    <xf numFmtId="0" fontId="2" fillId="0" borderId="0" xfId="0" applyFont="1"/>
    <xf numFmtId="0" fontId="3" fillId="0" borderId="0" xfId="0" applyFont="1"/>
    <xf numFmtId="0" fontId="0" fillId="0" borderId="0" xfId="0" applyAlignment="1">
      <alignment wrapText="1"/>
    </xf>
    <xf numFmtId="0" fontId="1" fillId="0" borderId="0" xfId="0" applyFont="1"/>
    <xf numFmtId="0" fontId="5" fillId="0" borderId="0" xfId="0" applyFont="1"/>
    <xf numFmtId="0" fontId="6" fillId="0" borderId="0" xfId="0" applyFont="1"/>
    <xf numFmtId="0" fontId="0" fillId="0" borderId="3" xfId="0" applyBorder="1"/>
    <xf numFmtId="0" fontId="0" fillId="0" borderId="4" xfId="0" applyBorder="1"/>
    <xf numFmtId="0" fontId="8" fillId="2" borderId="2" xfId="0" applyFont="1" applyFill="1" applyBorder="1"/>
    <xf numFmtId="0" fontId="1" fillId="3" borderId="1" xfId="0" applyFont="1" applyFill="1" applyBorder="1"/>
    <xf numFmtId="0" fontId="1" fillId="3" borderId="5" xfId="0" applyFont="1" applyFill="1" applyBorder="1"/>
    <xf numFmtId="0" fontId="1" fillId="3" borderId="6" xfId="0" applyFont="1" applyFill="1" applyBorder="1"/>
    <xf numFmtId="10" fontId="0" fillId="0" borderId="0" xfId="0" applyNumberFormat="1"/>
    <xf numFmtId="0" fontId="1" fillId="3" borderId="7" xfId="0" applyFont="1" applyFill="1" applyBorder="1"/>
    <xf numFmtId="0" fontId="0" fillId="0" borderId="8" xfId="0" applyBorder="1"/>
    <xf numFmtId="0" fontId="0" fillId="0" borderId="0" xfId="0" applyBorder="1"/>
    <xf numFmtId="0" fontId="0" fillId="0" borderId="10" xfId="0" applyBorder="1"/>
    <xf numFmtId="0" fontId="0" fillId="0" borderId="11" xfId="0" applyBorder="1"/>
    <xf numFmtId="170" fontId="0" fillId="0" borderId="0" xfId="0" applyNumberFormat="1" applyBorder="1"/>
    <xf numFmtId="170" fontId="0" fillId="0" borderId="11" xfId="0" applyNumberFormat="1" applyBorder="1"/>
    <xf numFmtId="170" fontId="0" fillId="0" borderId="9" xfId="0" applyNumberFormat="1" applyBorder="1"/>
    <xf numFmtId="170" fontId="0" fillId="0" borderId="12" xfId="0" applyNumberFormat="1" applyBorder="1"/>
    <xf numFmtId="172" fontId="0" fillId="0" borderId="8" xfId="0" applyNumberFormat="1" applyBorder="1"/>
    <xf numFmtId="172" fontId="0" fillId="0" borderId="10" xfId="0" applyNumberFormat="1" applyBorder="1"/>
    <xf numFmtId="172" fontId="0" fillId="0" borderId="0" xfId="0" applyNumberFormat="1" applyBorder="1"/>
    <xf numFmtId="172" fontId="0" fillId="0" borderId="11" xfId="0" applyNumberFormat="1" applyBorder="1"/>
    <xf numFmtId="0" fontId="0" fillId="0" borderId="9" xfId="0" applyBorder="1"/>
    <xf numFmtId="0" fontId="0" fillId="0" borderId="12" xfId="0" applyBorder="1"/>
    <xf numFmtId="168" fontId="0" fillId="0" borderId="0" xfId="0" applyNumberFormat="1" applyBorder="1" applyAlignment="1">
      <alignment horizontal="right"/>
    </xf>
    <xf numFmtId="168" fontId="0" fillId="0" borderId="11" xfId="0" applyNumberFormat="1" applyBorder="1" applyAlignment="1">
      <alignment horizontal="right"/>
    </xf>
    <xf numFmtId="0" fontId="1" fillId="0" borderId="1" xfId="0" applyFont="1" applyFill="1" applyBorder="1"/>
    <xf numFmtId="172" fontId="1" fillId="0" borderId="5" xfId="0" applyNumberFormat="1" applyFont="1" applyFill="1" applyBorder="1"/>
    <xf numFmtId="170" fontId="1" fillId="0" borderId="6" xfId="0" applyNumberFormat="1" applyFont="1" applyFill="1" applyBorder="1"/>
    <xf numFmtId="170" fontId="1" fillId="0" borderId="0" xfId="0" applyNumberFormat="1" applyFont="1" applyBorder="1"/>
    <xf numFmtId="0" fontId="1" fillId="0" borderId="5" xfId="0" applyFont="1" applyBorder="1" applyAlignment="1">
      <alignment horizontal="right"/>
    </xf>
    <xf numFmtId="172" fontId="1" fillId="0" borderId="0" xfId="0" applyNumberFormat="1" applyFont="1" applyBorder="1"/>
    <xf numFmtId="172" fontId="1" fillId="0" borderId="7" xfId="0" applyNumberFormat="1" applyFont="1" applyBorder="1"/>
    <xf numFmtId="172" fontId="1" fillId="0" borderId="5" xfId="0" applyNumberFormat="1" applyFont="1" applyBorder="1"/>
    <xf numFmtId="170" fontId="1" fillId="0" borderId="5" xfId="0" applyNumberFormat="1" applyFont="1" applyBorder="1"/>
    <xf numFmtId="0" fontId="1" fillId="0" borderId="0" xfId="0" applyFont="1" applyFill="1" applyBorder="1"/>
    <xf numFmtId="0" fontId="1" fillId="0" borderId="0" xfId="0" applyFont="1" applyBorder="1" applyAlignment="1">
      <alignment horizontal="right"/>
    </xf>
    <xf numFmtId="172" fontId="1" fillId="0" borderId="0" xfId="0" applyNumberFormat="1" applyFont="1" applyFill="1" applyBorder="1"/>
    <xf numFmtId="170" fontId="1" fillId="0" borderId="0" xfId="0" applyNumberFormat="1" applyFont="1" applyFill="1" applyBorder="1"/>
    <xf numFmtId="0" fontId="1" fillId="0" borderId="7" xfId="0" applyFont="1" applyFill="1" applyBorder="1"/>
    <xf numFmtId="0" fontId="0" fillId="0" borderId="0" xfId="0" applyFill="1" applyBorder="1"/>
    <xf numFmtId="0" fontId="0" fillId="0" borderId="11" xfId="0" applyFill="1" applyBorder="1"/>
    <xf numFmtId="0" fontId="1" fillId="0" borderId="3" xfId="0" applyFont="1" applyBorder="1"/>
    <xf numFmtId="0" fontId="1" fillId="0" borderId="4" xfId="0" applyFont="1" applyBorder="1"/>
    <xf numFmtId="0" fontId="1" fillId="0" borderId="8" xfId="0" applyFont="1" applyBorder="1"/>
    <xf numFmtId="0" fontId="1" fillId="0" borderId="10" xfId="0" applyFont="1" applyBorder="1"/>
    <xf numFmtId="0" fontId="1" fillId="0" borderId="2" xfId="0" applyFont="1" applyBorder="1"/>
    <xf numFmtId="0" fontId="1" fillId="0" borderId="0" xfId="0" applyFont="1" applyBorder="1"/>
    <xf numFmtId="0" fontId="0" fillId="0" borderId="0" xfId="0" applyAlignment="1">
      <alignment vertical="center"/>
    </xf>
    <xf numFmtId="0" fontId="0" fillId="0" borderId="3" xfId="0" applyBorder="1" applyAlignment="1">
      <alignment vertical="center"/>
    </xf>
    <xf numFmtId="0" fontId="0" fillId="0" borderId="13" xfId="0" applyBorder="1"/>
    <xf numFmtId="0" fontId="0" fillId="0" borderId="14" xfId="0" applyBorder="1"/>
    <xf numFmtId="0" fontId="0" fillId="0" borderId="8" xfId="0" applyBorder="1" applyAlignment="1">
      <alignment vertical="center"/>
    </xf>
    <xf numFmtId="173" fontId="0" fillId="0" borderId="0" xfId="0" applyNumberFormat="1"/>
    <xf numFmtId="0" fontId="9" fillId="0" borderId="0" xfId="0" applyFont="1"/>
    <xf numFmtId="0" fontId="0" fillId="0" borderId="15" xfId="0" applyBorder="1"/>
    <xf numFmtId="0" fontId="1" fillId="0" borderId="15" xfId="0" applyFont="1" applyBorder="1"/>
    <xf numFmtId="0" fontId="0" fillId="0" borderId="17" xfId="0" applyBorder="1"/>
    <xf numFmtId="0" fontId="0" fillId="4" borderId="19" xfId="0" applyFill="1" applyBorder="1"/>
    <xf numFmtId="0" fontId="1" fillId="4" borderId="15" xfId="0" applyFont="1" applyFill="1" applyBorder="1" applyAlignment="1">
      <alignment vertical="center"/>
    </xf>
    <xf numFmtId="0" fontId="0" fillId="4" borderId="15" xfId="0" applyFill="1" applyBorder="1"/>
    <xf numFmtId="0" fontId="0" fillId="4" borderId="20" xfId="0" applyFill="1" applyBorder="1"/>
    <xf numFmtId="0" fontId="13" fillId="2" borderId="11" xfId="0" applyFont="1" applyFill="1" applyBorder="1"/>
    <xf numFmtId="0" fontId="0" fillId="0" borderId="19" xfId="0" applyBorder="1"/>
    <xf numFmtId="0" fontId="0" fillId="0" borderId="20" xfId="0" applyBorder="1"/>
    <xf numFmtId="0" fontId="0" fillId="2" borderId="11" xfId="0" applyFill="1" applyBorder="1"/>
    <xf numFmtId="17" fontId="14" fillId="3" borderId="0" xfId="0" applyNumberFormat="1" applyFont="1" applyFill="1"/>
    <xf numFmtId="173" fontId="14" fillId="3" borderId="0" xfId="0" applyNumberFormat="1" applyFont="1" applyFill="1"/>
    <xf numFmtId="0" fontId="14" fillId="3" borderId="0" xfId="0" applyFont="1" applyFill="1"/>
    <xf numFmtId="0" fontId="1" fillId="0" borderId="21" xfId="0" applyFont="1" applyBorder="1"/>
    <xf numFmtId="0" fontId="16" fillId="0" borderId="0" xfId="0" applyFont="1"/>
    <xf numFmtId="0" fontId="0" fillId="0" borderId="21" xfId="0" applyBorder="1"/>
    <xf numFmtId="0" fontId="1" fillId="0" borderId="16" xfId="0" applyFont="1" applyBorder="1"/>
    <xf numFmtId="9" fontId="14" fillId="3" borderId="0" xfId="0" applyNumberFormat="1" applyFont="1" applyFill="1"/>
    <xf numFmtId="9" fontId="15" fillId="3" borderId="15" xfId="0" applyNumberFormat="1" applyFont="1" applyFill="1" applyBorder="1"/>
    <xf numFmtId="0" fontId="14" fillId="0" borderId="0" xfId="0" applyFont="1" applyFill="1"/>
    <xf numFmtId="9" fontId="0" fillId="0" borderId="0" xfId="0" applyNumberFormat="1"/>
    <xf numFmtId="0" fontId="0" fillId="0" borderId="0" xfId="0" applyNumberFormat="1"/>
    <xf numFmtId="174" fontId="0" fillId="0" borderId="0" xfId="0" applyNumberFormat="1"/>
    <xf numFmtId="174" fontId="1" fillId="0" borderId="21" xfId="0" applyNumberFormat="1" applyFont="1" applyBorder="1"/>
    <xf numFmtId="10" fontId="14" fillId="3" borderId="0" xfId="0" applyNumberFormat="1" applyFont="1" applyFill="1"/>
    <xf numFmtId="9" fontId="16" fillId="0" borderId="0" xfId="0" applyNumberFormat="1" applyFont="1"/>
    <xf numFmtId="10" fontId="1" fillId="0" borderId="0" xfId="0" applyNumberFormat="1" applyFont="1"/>
    <xf numFmtId="10" fontId="16" fillId="0" borderId="0" xfId="0" applyNumberFormat="1" applyFont="1"/>
    <xf numFmtId="2" fontId="17" fillId="0" borderId="0" xfId="0" applyNumberFormat="1" applyFont="1" applyFill="1"/>
    <xf numFmtId="173" fontId="0" fillId="0" borderId="21" xfId="0" applyNumberFormat="1" applyBorder="1"/>
    <xf numFmtId="173" fontId="1" fillId="0" borderId="0" xfId="0" applyNumberFormat="1" applyFont="1"/>
    <xf numFmtId="173" fontId="1" fillId="0" borderId="21" xfId="0" applyNumberFormat="1" applyFont="1" applyBorder="1"/>
    <xf numFmtId="173" fontId="1" fillId="0" borderId="18" xfId="0" applyNumberFormat="1" applyFont="1" applyBorder="1"/>
    <xf numFmtId="174" fontId="1" fillId="0" borderId="18" xfId="0" applyNumberFormat="1" applyFont="1" applyBorder="1"/>
    <xf numFmtId="170" fontId="14" fillId="3" borderId="0" xfId="0" applyNumberFormat="1" applyFont="1" applyFill="1"/>
    <xf numFmtId="170" fontId="0" fillId="0" borderId="0" xfId="0" applyNumberFormat="1"/>
    <xf numFmtId="170" fontId="1" fillId="0" borderId="0" xfId="0" applyNumberFormat="1" applyFont="1"/>
    <xf numFmtId="170" fontId="16" fillId="0" borderId="0" xfId="0" applyNumberFormat="1" applyFont="1"/>
    <xf numFmtId="170" fontId="18" fillId="3" borderId="0" xfId="0" applyNumberFormat="1" applyFont="1" applyFill="1"/>
    <xf numFmtId="10" fontId="18" fillId="3" borderId="0" xfId="0" applyNumberFormat="1" applyFont="1" applyFill="1"/>
    <xf numFmtId="0" fontId="7" fillId="0" borderId="0" xfId="0" applyFont="1" applyAlignment="1">
      <alignment vertical="center" wrapText="1"/>
    </xf>
    <xf numFmtId="170" fontId="17" fillId="0" borderId="0" xfId="0" applyNumberFormat="1" applyFont="1" applyFill="1"/>
    <xf numFmtId="0" fontId="1" fillId="3" borderId="0" xfId="0" applyFont="1" applyFill="1"/>
    <xf numFmtId="0" fontId="0" fillId="0" borderId="0" xfId="0" applyAlignment="1">
      <alignment vertical="top" wrapText="1"/>
    </xf>
    <xf numFmtId="0" fontId="4" fillId="3" borderId="0" xfId="0" applyFont="1" applyFill="1"/>
    <xf numFmtId="0" fontId="0" fillId="0" borderId="0" xfId="0" applyAlignment="1">
      <alignment vertical="center" wrapText="1"/>
    </xf>
    <xf numFmtId="0" fontId="5" fillId="3" borderId="24" xfId="0" applyFont="1" applyFill="1" applyBorder="1" applyAlignment="1">
      <alignment vertical="center"/>
    </xf>
    <xf numFmtId="0" fontId="0" fillId="0" borderId="23" xfId="0" applyBorder="1" applyAlignment="1">
      <alignment vertical="center" wrapText="1"/>
    </xf>
    <xf numFmtId="0" fontId="0" fillId="0" borderId="23" xfId="0" applyBorder="1" applyAlignment="1">
      <alignment vertical="center"/>
    </xf>
    <xf numFmtId="0" fontId="5" fillId="3" borderId="18" xfId="0" applyFont="1" applyFill="1" applyBorder="1" applyAlignment="1">
      <alignment vertical="center"/>
    </xf>
    <xf numFmtId="0" fontId="0" fillId="0" borderId="17" xfId="0" applyBorder="1" applyAlignment="1">
      <alignment wrapText="1"/>
    </xf>
    <xf numFmtId="0" fontId="0" fillId="0" borderId="17" xfId="0" applyBorder="1" applyAlignment="1">
      <alignment vertical="center" wrapText="1"/>
    </xf>
    <xf numFmtId="0" fontId="0" fillId="0" borderId="17" xfId="0" applyBorder="1" applyAlignment="1">
      <alignment vertical="center"/>
    </xf>
    <xf numFmtId="173" fontId="0" fillId="0" borderId="22" xfId="0" applyNumberFormat="1" applyBorder="1"/>
    <xf numFmtId="173" fontId="0" fillId="0" borderId="18" xfId="0" applyNumberFormat="1" applyBorder="1"/>
    <xf numFmtId="173" fontId="14" fillId="3" borderId="22" xfId="0" applyNumberFormat="1" applyFont="1" applyFill="1" applyBorder="1"/>
    <xf numFmtId="173" fontId="17" fillId="0" borderId="0" xfId="0" applyNumberFormat="1" applyFont="1" applyFill="1"/>
    <xf numFmtId="0" fontId="1" fillId="0" borderId="17" xfId="0" applyFont="1" applyBorder="1"/>
    <xf numFmtId="173" fontId="1" fillId="0" borderId="21" xfId="0" applyNumberFormat="1" applyFont="1" applyFill="1" applyBorder="1"/>
    <xf numFmtId="0" fontId="1" fillId="0" borderId="21" xfId="0" applyFont="1" applyFill="1" applyBorder="1"/>
    <xf numFmtId="170" fontId="1" fillId="0" borderId="21" xfId="0" applyNumberFormat="1" applyFont="1" applyBorder="1"/>
    <xf numFmtId="0" fontId="0" fillId="0" borderId="21" xfId="0" applyFont="1" applyBorder="1"/>
    <xf numFmtId="173" fontId="0" fillId="0" borderId="21" xfId="0" applyNumberFormat="1" applyFont="1" applyBorder="1"/>
    <xf numFmtId="0" fontId="0" fillId="0" borderId="0" xfId="0" applyFont="1" applyBorder="1"/>
    <xf numFmtId="0" fontId="13" fillId="2" borderId="11" xfId="0" applyFont="1" applyFill="1" applyBorder="1" applyAlignment="1">
      <alignment vertical="center"/>
    </xf>
    <xf numFmtId="0" fontId="0" fillId="0" borderId="9" xfId="0" applyBorder="1" applyAlignment="1">
      <alignment vertical="top" wrapText="1"/>
    </xf>
    <xf numFmtId="170" fontId="18" fillId="0" borderId="0" xfId="0" applyNumberFormat="1" applyFont="1" applyFill="1"/>
    <xf numFmtId="170" fontId="14" fillId="0" borderId="0" xfId="0" applyNumberFormat="1" applyFont="1" applyFill="1"/>
    <xf numFmtId="0" fontId="1" fillId="0" borderId="25" xfId="0" applyFont="1" applyFill="1" applyBorder="1"/>
    <xf numFmtId="173" fontId="1" fillId="0" borderId="0" xfId="0" applyNumberFormat="1" applyFont="1" applyBorder="1"/>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396C-842C-4AA6-AC0E-D8166634B76E}">
  <dimension ref="A2:J31"/>
  <sheetViews>
    <sheetView tabSelected="1" topLeftCell="A5" workbookViewId="0">
      <selection activeCell="J23" sqref="J23"/>
    </sheetView>
  </sheetViews>
  <sheetFormatPr defaultRowHeight="14.4" x14ac:dyDescent="0.3"/>
  <cols>
    <col min="1" max="1" width="2" customWidth="1"/>
    <col min="2" max="2" width="35.88671875" customWidth="1"/>
    <col min="3" max="3" width="20.44140625" customWidth="1"/>
    <col min="4" max="4" width="25.6640625" customWidth="1"/>
    <col min="5" max="5" width="15.33203125" customWidth="1"/>
    <col min="6" max="6" width="19.44140625" customWidth="1"/>
    <col min="7" max="7" width="14.44140625" customWidth="1"/>
    <col min="8" max="8" width="14.33203125" customWidth="1"/>
    <col min="9" max="9" width="9.44140625" customWidth="1"/>
    <col min="10" max="10" width="14.109375" customWidth="1"/>
    <col min="11" max="11" width="12" customWidth="1"/>
  </cols>
  <sheetData>
    <row r="2" spans="2:8" ht="28.8" x14ac:dyDescent="0.55000000000000004">
      <c r="B2" s="1" t="s">
        <v>0</v>
      </c>
    </row>
    <row r="3" spans="2:8" x14ac:dyDescent="0.3">
      <c r="B3" s="2" t="s">
        <v>2</v>
      </c>
    </row>
    <row r="4" spans="2:8" x14ac:dyDescent="0.3">
      <c r="B4" s="2" t="s">
        <v>219</v>
      </c>
    </row>
    <row r="5" spans="2:8" ht="138" customHeight="1" x14ac:dyDescent="0.3">
      <c r="B5" s="101" t="s">
        <v>3</v>
      </c>
      <c r="D5" s="104" t="s">
        <v>220</v>
      </c>
    </row>
    <row r="6" spans="2:8" ht="21.6" thickBot="1" x14ac:dyDescent="0.45">
      <c r="B6" s="6" t="s">
        <v>1</v>
      </c>
    </row>
    <row r="7" spans="2:8" ht="16.2" thickBot="1" x14ac:dyDescent="0.35">
      <c r="B7" s="9" t="s">
        <v>13</v>
      </c>
    </row>
    <row r="8" spans="2:8" ht="15" thickBot="1" x14ac:dyDescent="0.35">
      <c r="B8" s="10" t="s">
        <v>4</v>
      </c>
      <c r="C8" s="14" t="s">
        <v>24</v>
      </c>
      <c r="D8" s="11" t="s">
        <v>15</v>
      </c>
      <c r="E8" s="11" t="s">
        <v>16</v>
      </c>
      <c r="F8" s="11" t="s">
        <v>17</v>
      </c>
      <c r="G8" s="11" t="s">
        <v>18</v>
      </c>
      <c r="H8" s="12" t="s">
        <v>224</v>
      </c>
    </row>
    <row r="9" spans="2:8" x14ac:dyDescent="0.3">
      <c r="B9" s="7" t="s">
        <v>5</v>
      </c>
      <c r="C9" s="23">
        <v>1620</v>
      </c>
      <c r="D9" s="36">
        <v>2070</v>
      </c>
      <c r="E9" s="29" t="s">
        <v>25</v>
      </c>
      <c r="F9" s="19">
        <v>0.68100000000000005</v>
      </c>
      <c r="G9" s="25">
        <v>976.53</v>
      </c>
      <c r="H9" s="21">
        <v>-5.6599999999999998E-2</v>
      </c>
    </row>
    <row r="10" spans="2:8" x14ac:dyDescent="0.3">
      <c r="B10" s="7" t="s">
        <v>6</v>
      </c>
      <c r="C10" s="23">
        <v>3520</v>
      </c>
      <c r="D10" s="25">
        <v>4330</v>
      </c>
      <c r="E10" s="29" t="s">
        <v>26</v>
      </c>
      <c r="F10" s="19">
        <v>0.67510000000000003</v>
      </c>
      <c r="G10" s="25">
        <v>1917</v>
      </c>
      <c r="H10" s="21">
        <v>-1.5299999999999999E-2</v>
      </c>
    </row>
    <row r="11" spans="2:8" x14ac:dyDescent="0.3">
      <c r="B11" s="7" t="s">
        <v>7</v>
      </c>
      <c r="C11" s="23">
        <v>5600</v>
      </c>
      <c r="D11" s="25">
        <v>6600</v>
      </c>
      <c r="E11" s="29" t="s">
        <v>27</v>
      </c>
      <c r="F11" s="19">
        <v>0.54059999999999997</v>
      </c>
      <c r="G11" s="25">
        <v>1408</v>
      </c>
      <c r="H11" s="21">
        <v>0.1012</v>
      </c>
    </row>
    <row r="12" spans="2:8" x14ac:dyDescent="0.3">
      <c r="B12" s="7" t="s">
        <v>8</v>
      </c>
      <c r="C12" s="23">
        <v>2210</v>
      </c>
      <c r="D12" s="25">
        <v>3490</v>
      </c>
      <c r="E12" s="29" t="s">
        <v>28</v>
      </c>
      <c r="F12" s="19">
        <v>0.62260000000000004</v>
      </c>
      <c r="G12" s="25">
        <v>3621</v>
      </c>
      <c r="H12" s="21">
        <v>-0.12540000000000001</v>
      </c>
    </row>
    <row r="13" spans="2:8" x14ac:dyDescent="0.3">
      <c r="B13" s="7" t="s">
        <v>9</v>
      </c>
      <c r="C13" s="23">
        <v>17.809999999999999</v>
      </c>
      <c r="D13" s="25">
        <v>189.06</v>
      </c>
      <c r="E13" s="29" t="s">
        <v>29</v>
      </c>
      <c r="F13" s="19">
        <v>1.47E-2</v>
      </c>
      <c r="G13" s="25">
        <v>232.89</v>
      </c>
      <c r="H13" s="21">
        <v>-0.2306</v>
      </c>
    </row>
    <row r="14" spans="2:8" x14ac:dyDescent="0.3">
      <c r="B14" s="7" t="s">
        <v>10</v>
      </c>
      <c r="C14" s="23">
        <v>129.15</v>
      </c>
      <c r="D14" s="25">
        <v>168.17</v>
      </c>
      <c r="E14" s="29" t="s">
        <v>30</v>
      </c>
      <c r="F14" s="19">
        <v>0.40960000000000002</v>
      </c>
      <c r="G14" s="25">
        <v>184.32</v>
      </c>
      <c r="H14" s="21">
        <v>-1.2999999999999999E-2</v>
      </c>
    </row>
    <row r="15" spans="2:8" x14ac:dyDescent="0.3">
      <c r="B15" s="7" t="s">
        <v>11</v>
      </c>
      <c r="C15" s="23">
        <v>184.77</v>
      </c>
      <c r="D15" s="25">
        <v>735.93</v>
      </c>
      <c r="E15" s="29" t="s">
        <v>31</v>
      </c>
      <c r="F15" s="19">
        <v>0.58160000000000001</v>
      </c>
      <c r="G15" s="25">
        <v>240.5</v>
      </c>
      <c r="H15" s="21">
        <v>-0.17599999999999999</v>
      </c>
    </row>
    <row r="16" spans="2:8" x14ac:dyDescent="0.3">
      <c r="B16" s="7" t="s">
        <v>33</v>
      </c>
      <c r="C16" s="23">
        <v>3830</v>
      </c>
      <c r="D16" s="25">
        <v>4690</v>
      </c>
      <c r="E16" s="29" t="s">
        <v>34</v>
      </c>
      <c r="F16" s="19">
        <v>0.67889999999999995</v>
      </c>
      <c r="G16" s="25">
        <v>2420</v>
      </c>
      <c r="H16" s="21">
        <v>-1.67E-2</v>
      </c>
    </row>
    <row r="17" spans="1:10" ht="15" thickBot="1" x14ac:dyDescent="0.35">
      <c r="B17" s="8" t="s">
        <v>12</v>
      </c>
      <c r="C17" s="24">
        <v>95.42</v>
      </c>
      <c r="D17" s="26">
        <v>148.08000000000001</v>
      </c>
      <c r="E17" s="30" t="s">
        <v>32</v>
      </c>
      <c r="F17" s="20">
        <v>0.68069999999999997</v>
      </c>
      <c r="G17" s="26">
        <v>120.39</v>
      </c>
      <c r="H17" s="22">
        <v>-0.21229999999999999</v>
      </c>
    </row>
    <row r="18" spans="1:10" ht="15" thickBot="1" x14ac:dyDescent="0.35">
      <c r="B18" s="31" t="s">
        <v>35</v>
      </c>
      <c r="C18" s="37">
        <v>13820</v>
      </c>
      <c r="D18" s="38">
        <v>13490</v>
      </c>
      <c r="E18" s="35" t="s">
        <v>36</v>
      </c>
      <c r="F18" s="39">
        <v>0.78100000000000003</v>
      </c>
      <c r="G18" s="32">
        <v>3132</v>
      </c>
      <c r="H18" s="33">
        <v>7.4999999999999997E-3</v>
      </c>
    </row>
    <row r="19" spans="1:10" ht="15" thickBot="1" x14ac:dyDescent="0.35">
      <c r="B19" s="44" t="s">
        <v>37</v>
      </c>
      <c r="C19" s="38"/>
      <c r="D19" s="38"/>
      <c r="E19" s="35" t="s">
        <v>38</v>
      </c>
      <c r="F19" s="39">
        <v>0.65039999999999998</v>
      </c>
      <c r="G19" s="32"/>
      <c r="H19" s="33"/>
    </row>
    <row r="20" spans="1:10" ht="15" thickBot="1" x14ac:dyDescent="0.35">
      <c r="A20" s="16"/>
      <c r="B20" s="129"/>
      <c r="C20" s="36"/>
      <c r="D20" s="36"/>
      <c r="E20" s="41"/>
      <c r="F20" s="34"/>
      <c r="G20" s="42"/>
      <c r="H20" s="43"/>
    </row>
    <row r="21" spans="1:10" ht="16.2" thickBot="1" x14ac:dyDescent="0.35">
      <c r="B21" s="9" t="s">
        <v>14</v>
      </c>
    </row>
    <row r="22" spans="1:10" ht="15" thickBot="1" x14ac:dyDescent="0.35">
      <c r="B22" s="10" t="s">
        <v>4</v>
      </c>
      <c r="C22" s="14" t="s">
        <v>19</v>
      </c>
      <c r="D22" s="11" t="s">
        <v>20</v>
      </c>
      <c r="E22" s="11" t="s">
        <v>21</v>
      </c>
      <c r="F22" s="11" t="s">
        <v>22</v>
      </c>
      <c r="G22" s="11" t="s">
        <v>39</v>
      </c>
      <c r="H22" s="11" t="s">
        <v>223</v>
      </c>
      <c r="I22" s="10" t="s">
        <v>23</v>
      </c>
    </row>
    <row r="23" spans="1:10" x14ac:dyDescent="0.3">
      <c r="B23" s="7" t="s">
        <v>5</v>
      </c>
      <c r="C23" s="15">
        <v>4</v>
      </c>
      <c r="D23" s="16">
        <v>5</v>
      </c>
      <c r="E23" s="16">
        <v>4</v>
      </c>
      <c r="F23" s="45" cm="1">
        <f t="array" ref="F23">_xlfn.IFS(D9/$D$18&lt;0.1,5,D9/$D$18&lt;0.2,4,D9/$D$18&lt;0.35,3,D9/$D$18&lt;0.5,2, TRUE, 1)</f>
        <v>4</v>
      </c>
      <c r="G23" s="45">
        <v>4</v>
      </c>
      <c r="H23" s="45">
        <v>5</v>
      </c>
      <c r="I23" s="49">
        <f>0.25*(C23)+0.15*(D23)+0.2*(E23)+0.15*(F23)+0.1*(G23)+0.15*(H23)</f>
        <v>4.3</v>
      </c>
      <c r="J23" s="51" t="str">
        <f>IF(I23&gt;3.5, "Recommend", "Not recommend")</f>
        <v>Recommend</v>
      </c>
    </row>
    <row r="24" spans="1:10" x14ac:dyDescent="0.3">
      <c r="B24" s="7" t="s">
        <v>6</v>
      </c>
      <c r="C24" s="15">
        <v>3</v>
      </c>
      <c r="D24" s="16">
        <v>2</v>
      </c>
      <c r="E24" s="16">
        <v>4</v>
      </c>
      <c r="F24" s="45" cm="1">
        <f t="array" ref="F24">_xlfn.IFS(D10/$D$18&lt;0.2,5,D10/$D$18&lt;0.3,4,D10/$D$18&lt;0.5,3,D10/$D$18&lt;0.6,2, TRUE, 1)</f>
        <v>3</v>
      </c>
      <c r="G24" s="45">
        <v>4</v>
      </c>
      <c r="H24" s="45">
        <v>4</v>
      </c>
      <c r="I24" s="49">
        <f t="shared" ref="I24:I31" si="0">0.25*(C24)+0.15*(D24)+0.2*(E24)+0.15*(F24)+0.1*(G24)+0.15*(H24)</f>
        <v>3.3</v>
      </c>
      <c r="J24" s="47" t="str">
        <f t="shared" ref="J24:J31" si="1">IF(I24&gt;3.5, "Recommend", "Not recommend")</f>
        <v>Not recommend</v>
      </c>
    </row>
    <row r="25" spans="1:10" x14ac:dyDescent="0.3">
      <c r="B25" s="7" t="s">
        <v>7</v>
      </c>
      <c r="C25" s="15">
        <v>1</v>
      </c>
      <c r="D25" s="16">
        <v>2</v>
      </c>
      <c r="E25" s="16">
        <v>5</v>
      </c>
      <c r="F25" s="45" cm="1">
        <f t="array" ref="F25">_xlfn.IFS(D11/$D$18&lt;0.2,5,D11/$D$18&lt;0.3,4,D11/$D$18&lt;0.5,3,D11/$D$18&lt;0.6,2, TRUE, 1)</f>
        <v>3</v>
      </c>
      <c r="G25" s="45">
        <v>1</v>
      </c>
      <c r="H25" s="45">
        <v>4</v>
      </c>
      <c r="I25" s="49">
        <f t="shared" si="0"/>
        <v>2.7</v>
      </c>
      <c r="J25" s="47" t="str">
        <f t="shared" si="1"/>
        <v>Not recommend</v>
      </c>
    </row>
    <row r="26" spans="1:10" x14ac:dyDescent="0.3">
      <c r="B26" s="7" t="s">
        <v>8</v>
      </c>
      <c r="C26" s="15">
        <v>4</v>
      </c>
      <c r="D26" s="45">
        <v>2</v>
      </c>
      <c r="E26" s="45">
        <v>2</v>
      </c>
      <c r="F26" s="45" cm="1">
        <f t="array" ref="F26">_xlfn.IFS(D12/$D$18&lt;0.2,5,D12/$D$18&lt;0.3,4,D12/$D$18&lt;0.5,3,D12/$D$18&lt;0.6,2, TRUE, 1)</f>
        <v>4</v>
      </c>
      <c r="G26" s="45">
        <v>4</v>
      </c>
      <c r="H26" s="45">
        <v>5</v>
      </c>
      <c r="I26" s="49">
        <f t="shared" si="0"/>
        <v>3.45</v>
      </c>
      <c r="J26" s="47" t="str">
        <f t="shared" si="1"/>
        <v>Not recommend</v>
      </c>
    </row>
    <row r="27" spans="1:10" x14ac:dyDescent="0.3">
      <c r="B27" s="7" t="s">
        <v>9</v>
      </c>
      <c r="C27" s="15">
        <v>2</v>
      </c>
      <c r="D27" s="45">
        <v>3</v>
      </c>
      <c r="E27" s="45">
        <v>3</v>
      </c>
      <c r="F27" s="45" cm="1">
        <f t="array" ref="F27">_xlfn.IFS(D13/$D$18&lt;0.2,5,D13/$D$18&lt;0.3,4,D13/$D$18&lt;0.5,3,D13/$D$18&lt;0.6,2, TRUE, 1)</f>
        <v>5</v>
      </c>
      <c r="G27" s="45">
        <v>2</v>
      </c>
      <c r="H27" s="45">
        <v>3</v>
      </c>
      <c r="I27" s="49">
        <f t="shared" si="0"/>
        <v>2.95</v>
      </c>
      <c r="J27" s="47" t="str">
        <f t="shared" si="1"/>
        <v>Not recommend</v>
      </c>
    </row>
    <row r="28" spans="1:10" x14ac:dyDescent="0.3">
      <c r="B28" s="7" t="s">
        <v>10</v>
      </c>
      <c r="C28" s="15">
        <v>5</v>
      </c>
      <c r="D28" s="45">
        <v>4</v>
      </c>
      <c r="E28" s="45">
        <v>3</v>
      </c>
      <c r="F28" s="45" cm="1">
        <f t="array" ref="F28">_xlfn.IFS(D14/$D$18&lt;0.2,5,D14/$D$18&lt;0.3,4,D14/$D$18&lt;0.5,3,D14/$D$18&lt;0.6,2, TRUE, 1)</f>
        <v>5</v>
      </c>
      <c r="G28" s="45">
        <v>1</v>
      </c>
      <c r="H28" s="45">
        <v>3</v>
      </c>
      <c r="I28" s="49">
        <f t="shared" si="0"/>
        <v>3.75</v>
      </c>
      <c r="J28" s="47" t="str">
        <f t="shared" si="1"/>
        <v>Recommend</v>
      </c>
    </row>
    <row r="29" spans="1:10" x14ac:dyDescent="0.3">
      <c r="B29" s="7" t="s">
        <v>11</v>
      </c>
      <c r="C29" s="15">
        <v>2</v>
      </c>
      <c r="D29" s="45">
        <v>4</v>
      </c>
      <c r="E29" s="45">
        <v>4</v>
      </c>
      <c r="F29" s="45" cm="1">
        <f t="array" ref="F29">_xlfn.IFS(D15/$D$18&lt;0.2,5,D15/$D$18&lt;0.3,4,D15/$D$18&lt;0.5,3,D15/$D$18&lt;0.6,2, TRUE, 1)</f>
        <v>5</v>
      </c>
      <c r="G29" s="45">
        <v>4</v>
      </c>
      <c r="H29" s="45">
        <v>1</v>
      </c>
      <c r="I29" s="49">
        <f t="shared" si="0"/>
        <v>3.2</v>
      </c>
      <c r="J29" s="47" t="str">
        <f t="shared" si="1"/>
        <v>Not recommend</v>
      </c>
    </row>
    <row r="30" spans="1:10" x14ac:dyDescent="0.3">
      <c r="B30" s="7" t="s">
        <v>40</v>
      </c>
      <c r="C30" s="15">
        <v>4</v>
      </c>
      <c r="D30" s="45">
        <v>4</v>
      </c>
      <c r="E30" s="45">
        <v>5</v>
      </c>
      <c r="F30" s="45" cm="1">
        <f t="array" ref="F30">_xlfn.IFS(D16/$D$18&lt;0.2,5,D16/$D$18&lt;0.3,4,D16/$D$18&lt;0.5,3,D16/$D$18&lt;0.6,2, TRUE, 1)</f>
        <v>3</v>
      </c>
      <c r="G30" s="45">
        <v>3</v>
      </c>
      <c r="H30" s="45">
        <v>2</v>
      </c>
      <c r="I30" s="49">
        <f t="shared" si="0"/>
        <v>3.6499999999999995</v>
      </c>
      <c r="J30" s="47" t="str">
        <f t="shared" si="1"/>
        <v>Recommend</v>
      </c>
    </row>
    <row r="31" spans="1:10" ht="15" thickBot="1" x14ac:dyDescent="0.35">
      <c r="B31" s="8" t="s">
        <v>12</v>
      </c>
      <c r="C31" s="17">
        <v>5</v>
      </c>
      <c r="D31" s="18">
        <v>4</v>
      </c>
      <c r="E31" s="18">
        <v>3</v>
      </c>
      <c r="F31" s="46" cm="1">
        <f t="array" ref="F31">_xlfn.IFS(D17/$D$18&lt;0.2,5,D17/$D$18&lt;0.3,4,D17/$D$18&lt;0.5,3,D17/$D$18&lt;0.6,2, TRUE, 1)</f>
        <v>5</v>
      </c>
      <c r="G31" s="18">
        <v>4</v>
      </c>
      <c r="H31" s="46">
        <v>1</v>
      </c>
      <c r="I31" s="50">
        <f t="shared" si="0"/>
        <v>3.75</v>
      </c>
      <c r="J31" s="48" t="str">
        <f t="shared" si="1"/>
        <v>Recommend</v>
      </c>
    </row>
  </sheetData>
  <pageMargins left="0.7" right="0.7" top="0.75" bottom="0.75" header="0.3" footer="0.3"/>
  <pageSetup paperSize="8" orientation="landscape" horizontalDpi="1200" verticalDpi="12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6EEFB-E2C5-46BC-AC2C-597B35E6F3C7}">
  <dimension ref="B2:D9"/>
  <sheetViews>
    <sheetView workbookViewId="0">
      <selection activeCell="H6" sqref="H6"/>
    </sheetView>
  </sheetViews>
  <sheetFormatPr defaultRowHeight="14.4" x14ac:dyDescent="0.3"/>
  <cols>
    <col min="2" max="2" width="28.44140625" customWidth="1"/>
    <col min="3" max="3" width="14.109375" bestFit="1" customWidth="1"/>
    <col min="4" max="4" width="39.109375" customWidth="1"/>
  </cols>
  <sheetData>
    <row r="2" spans="2:4" ht="28.8" x14ac:dyDescent="0.55000000000000004">
      <c r="B2" s="1" t="s">
        <v>221</v>
      </c>
    </row>
    <row r="3" spans="2:4" ht="15" thickBot="1" x14ac:dyDescent="0.35"/>
    <row r="4" spans="2:4" ht="16.2" thickBot="1" x14ac:dyDescent="0.35">
      <c r="B4" s="9" t="s">
        <v>46</v>
      </c>
    </row>
    <row r="5" spans="2:4" ht="15" thickBot="1" x14ac:dyDescent="0.35">
      <c r="B5" s="10" t="s">
        <v>4</v>
      </c>
    </row>
    <row r="6" spans="2:4" ht="19.8" customHeight="1" x14ac:dyDescent="0.3">
      <c r="B6" s="7" t="s">
        <v>43</v>
      </c>
      <c r="C6" s="55" t="s">
        <v>41</v>
      </c>
      <c r="D6" s="56"/>
    </row>
    <row r="7" spans="2:4" ht="134.4" customHeight="1" x14ac:dyDescent="0.3">
      <c r="B7" s="54" t="s">
        <v>44</v>
      </c>
      <c r="C7" s="57" t="s">
        <v>42</v>
      </c>
      <c r="D7" s="126" t="s">
        <v>47</v>
      </c>
    </row>
    <row r="8" spans="2:4" ht="18" customHeight="1" x14ac:dyDescent="0.3">
      <c r="B8" s="7" t="s">
        <v>33</v>
      </c>
      <c r="C8" s="15" t="s">
        <v>41</v>
      </c>
      <c r="D8" s="27"/>
    </row>
    <row r="9" spans="2:4" ht="22.2" customHeight="1" thickBot="1" x14ac:dyDescent="0.35">
      <c r="B9" s="8" t="s">
        <v>45</v>
      </c>
      <c r="C9" s="17" t="s">
        <v>41</v>
      </c>
      <c r="D9" s="28"/>
    </row>
  </sheetData>
  <pageMargins left="0.7" right="0.7" top="0.75" bottom="0.75" header="0.3" footer="0.3"/>
  <pageSetup paperSize="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841AA-5155-438B-B9CD-3996FE6F2368}">
  <dimension ref="B2:M98"/>
  <sheetViews>
    <sheetView topLeftCell="A29" workbookViewId="0">
      <selection activeCell="B47" sqref="A47:XFD47"/>
    </sheetView>
  </sheetViews>
  <sheetFormatPr defaultRowHeight="14.4" x14ac:dyDescent="0.3"/>
  <cols>
    <col min="2" max="2" width="46.6640625" customWidth="1"/>
    <col min="3" max="3" width="9.44140625" bestFit="1" customWidth="1"/>
    <col min="4" max="4" width="11" bestFit="1" customWidth="1"/>
    <col min="6" max="6" width="9.21875" bestFit="1" customWidth="1"/>
    <col min="7" max="10" width="9.44140625" bestFit="1" customWidth="1"/>
  </cols>
  <sheetData>
    <row r="2" spans="2:10" ht="28.8" x14ac:dyDescent="0.55000000000000004">
      <c r="B2" s="1" t="s">
        <v>48</v>
      </c>
    </row>
    <row r="4" spans="2:10" x14ac:dyDescent="0.3">
      <c r="B4" t="s">
        <v>49</v>
      </c>
      <c r="C4" s="71" t="s">
        <v>50</v>
      </c>
    </row>
    <row r="5" spans="2:10" x14ac:dyDescent="0.3">
      <c r="B5" t="s">
        <v>51</v>
      </c>
      <c r="C5" s="72">
        <v>10.27</v>
      </c>
    </row>
    <row r="6" spans="2:10" x14ac:dyDescent="0.3">
      <c r="B6" t="s">
        <v>52</v>
      </c>
      <c r="C6" s="73">
        <v>165.68</v>
      </c>
    </row>
    <row r="7" spans="2:10" x14ac:dyDescent="0.3">
      <c r="C7" s="80"/>
    </row>
    <row r="8" spans="2:10" ht="18.600000000000001" thickBot="1" x14ac:dyDescent="0.4">
      <c r="B8" s="67" t="s">
        <v>61</v>
      </c>
      <c r="C8" s="70"/>
      <c r="D8" s="70"/>
      <c r="E8" s="70"/>
      <c r="F8" s="70"/>
      <c r="G8" s="70"/>
      <c r="H8" s="70"/>
      <c r="I8" s="70"/>
      <c r="J8" s="70"/>
    </row>
    <row r="9" spans="2:10" x14ac:dyDescent="0.3">
      <c r="C9" s="68"/>
      <c r="D9" s="60"/>
      <c r="E9" s="69"/>
      <c r="F9" s="63"/>
      <c r="G9" s="64" t="s">
        <v>111</v>
      </c>
      <c r="H9" s="65"/>
      <c r="I9" s="65"/>
      <c r="J9" s="66"/>
    </row>
    <row r="10" spans="2:10" x14ac:dyDescent="0.3">
      <c r="C10" s="61" t="s">
        <v>103</v>
      </c>
      <c r="D10" s="61" t="s">
        <v>102</v>
      </c>
      <c r="E10" s="61" t="s">
        <v>104</v>
      </c>
      <c r="F10" s="61" t="s">
        <v>105</v>
      </c>
      <c r="G10" s="61" t="s">
        <v>106</v>
      </c>
      <c r="H10" s="61" t="s">
        <v>107</v>
      </c>
      <c r="I10" s="61" t="s">
        <v>108</v>
      </c>
      <c r="J10" s="61" t="s">
        <v>109</v>
      </c>
    </row>
    <row r="11" spans="2:10" x14ac:dyDescent="0.3">
      <c r="B11" t="s">
        <v>53</v>
      </c>
      <c r="C11" s="72">
        <v>1156</v>
      </c>
      <c r="D11" s="72">
        <v>1035</v>
      </c>
      <c r="E11" s="72">
        <v>976.53</v>
      </c>
      <c r="F11" s="58">
        <f>E11*(1+F12)</f>
        <v>988.24835999999993</v>
      </c>
      <c r="G11" s="58">
        <f t="shared" ref="G11:J11" si="0">F11*(1+G12)</f>
        <v>1003.0720853999999</v>
      </c>
      <c r="H11" s="58">
        <f t="shared" si="0"/>
        <v>1023.1335271079998</v>
      </c>
      <c r="I11" s="58">
        <f t="shared" si="0"/>
        <v>1051.7812658670239</v>
      </c>
      <c r="J11" s="58">
        <f t="shared" si="0"/>
        <v>1088.5936101723696</v>
      </c>
    </row>
    <row r="12" spans="2:10" x14ac:dyDescent="0.3">
      <c r="B12" s="75" t="s">
        <v>54</v>
      </c>
      <c r="C12" s="75"/>
      <c r="D12" s="75"/>
      <c r="E12" s="75"/>
      <c r="F12" s="100">
        <v>1.2E-2</v>
      </c>
      <c r="G12" s="100">
        <v>1.4999999999999999E-2</v>
      </c>
      <c r="H12" s="100">
        <v>0.02</v>
      </c>
      <c r="I12" s="100">
        <v>2.8000000000000001E-2</v>
      </c>
      <c r="J12" s="100">
        <v>3.5000000000000003E-2</v>
      </c>
    </row>
    <row r="15" spans="2:10" x14ac:dyDescent="0.3">
      <c r="B15" t="s">
        <v>55</v>
      </c>
      <c r="C15" s="72">
        <v>119.21</v>
      </c>
      <c r="D15" s="72">
        <v>-7.79</v>
      </c>
      <c r="E15" s="72">
        <v>17.010000000000002</v>
      </c>
      <c r="F15" s="58">
        <f>F11*F16</f>
        <v>88.94235239999999</v>
      </c>
      <c r="G15" s="58">
        <f t="shared" ref="G15:J15" si="1">G11*G16</f>
        <v>95.291848112999986</v>
      </c>
      <c r="H15" s="58">
        <f t="shared" si="1"/>
        <v>104.35961976501598</v>
      </c>
      <c r="I15" s="58">
        <f t="shared" si="1"/>
        <v>114.64415797950561</v>
      </c>
      <c r="J15" s="58">
        <f t="shared" si="1"/>
        <v>125.18826516982251</v>
      </c>
    </row>
    <row r="16" spans="2:10" x14ac:dyDescent="0.3">
      <c r="B16" s="75" t="s">
        <v>56</v>
      </c>
      <c r="C16" s="88">
        <f>C15/C11</f>
        <v>0.10312283737024221</v>
      </c>
      <c r="D16" s="88">
        <f t="shared" ref="D16:E16" si="2">D15/D11</f>
        <v>-7.5265700483091785E-3</v>
      </c>
      <c r="E16" s="88">
        <f t="shared" si="2"/>
        <v>1.741881969831956E-2</v>
      </c>
      <c r="F16" s="100">
        <v>0.09</v>
      </c>
      <c r="G16" s="100">
        <v>9.5000000000000001E-2</v>
      </c>
      <c r="H16" s="100">
        <v>0.10199999999999999</v>
      </c>
      <c r="I16" s="100">
        <v>0.109</v>
      </c>
      <c r="J16" s="100">
        <v>0.115</v>
      </c>
    </row>
    <row r="19" spans="2:10" x14ac:dyDescent="0.3">
      <c r="B19" t="s">
        <v>57</v>
      </c>
      <c r="C19" s="72">
        <v>78.38</v>
      </c>
      <c r="D19" s="72">
        <v>-51.01</v>
      </c>
      <c r="E19" s="72">
        <v>-20.25</v>
      </c>
      <c r="F19" s="58">
        <f>F15-F22</f>
        <v>-138.9341048439062</v>
      </c>
      <c r="G19" s="58">
        <f t="shared" ref="G19:J19" si="3">G15-G22</f>
        <v>-136.00275598956478</v>
      </c>
      <c r="H19" s="58">
        <f t="shared" si="3"/>
        <v>-131.56087641960005</v>
      </c>
      <c r="I19" s="58">
        <f t="shared" si="3"/>
        <v>-127.88211209827971</v>
      </c>
      <c r="J19" s="58">
        <f t="shared" si="3"/>
        <v>-125.82642436068527</v>
      </c>
    </row>
    <row r="20" spans="2:10" x14ac:dyDescent="0.3">
      <c r="B20" s="75" t="s">
        <v>58</v>
      </c>
      <c r="C20" s="88">
        <f>C19/C11</f>
        <v>6.7802768166089961E-2</v>
      </c>
      <c r="D20" s="88">
        <f t="shared" ref="D20:E20" si="4">D19/D11</f>
        <v>-4.9285024154589373E-2</v>
      </c>
      <c r="E20" s="88">
        <f t="shared" si="4"/>
        <v>-2.0736690117047096E-2</v>
      </c>
      <c r="F20" s="100">
        <f>F19/F11</f>
        <v>-0.14058622353181158</v>
      </c>
      <c r="G20" s="100">
        <f t="shared" ref="G20:J20" si="5">G19/G11</f>
        <v>-0.13558622353181157</v>
      </c>
      <c r="H20" s="100">
        <f t="shared" si="5"/>
        <v>-0.12858622353181157</v>
      </c>
      <c r="I20" s="100">
        <f t="shared" si="5"/>
        <v>-0.12158622353181157</v>
      </c>
      <c r="J20" s="100">
        <f t="shared" si="5"/>
        <v>-0.11558622353181158</v>
      </c>
    </row>
    <row r="22" spans="2:10" x14ac:dyDescent="0.3">
      <c r="B22" t="s">
        <v>59</v>
      </c>
      <c r="C22" s="72">
        <v>283.10000000000002</v>
      </c>
      <c r="D22" s="72">
        <v>264.2</v>
      </c>
      <c r="E22" s="72">
        <v>187.1</v>
      </c>
      <c r="F22" s="58">
        <f>F11*F23</f>
        <v>227.87645724390617</v>
      </c>
      <c r="G22" s="58">
        <f t="shared" ref="G22:J22" si="6">G11*G23</f>
        <v>231.29460410256476</v>
      </c>
      <c r="H22" s="58">
        <f t="shared" si="6"/>
        <v>235.92049618461604</v>
      </c>
      <c r="I22" s="58">
        <f t="shared" si="6"/>
        <v>242.52627007778531</v>
      </c>
      <c r="J22" s="58">
        <f t="shared" si="6"/>
        <v>251.01468953050778</v>
      </c>
    </row>
    <row r="23" spans="2:10" x14ac:dyDescent="0.3">
      <c r="B23" s="75" t="s">
        <v>60</v>
      </c>
      <c r="C23" s="88">
        <f>C22/C11</f>
        <v>0.24489619377162633</v>
      </c>
      <c r="D23" s="88">
        <f t="shared" ref="D23:E23" si="7">D22/D11</f>
        <v>0.25526570048309177</v>
      </c>
      <c r="E23" s="88">
        <f t="shared" si="7"/>
        <v>0.19159677634071662</v>
      </c>
      <c r="F23" s="100">
        <f>AVERAGE($C$23:$E$23)</f>
        <v>0.23058622353181157</v>
      </c>
      <c r="G23" s="100">
        <f t="shared" ref="G23:J23" si="8">AVERAGE($C$23:$E$23)</f>
        <v>0.23058622353181157</v>
      </c>
      <c r="H23" s="100">
        <f t="shared" si="8"/>
        <v>0.23058622353181157</v>
      </c>
      <c r="I23" s="100">
        <f t="shared" si="8"/>
        <v>0.23058622353181157</v>
      </c>
      <c r="J23" s="100">
        <f t="shared" si="8"/>
        <v>0.23058622353181157</v>
      </c>
    </row>
    <row r="24" spans="2:10" ht="18.600000000000001" thickBot="1" x14ac:dyDescent="0.4">
      <c r="B24" s="67" t="s">
        <v>62</v>
      </c>
      <c r="C24" s="67"/>
      <c r="D24" s="67"/>
      <c r="E24" s="67"/>
      <c r="F24" s="67"/>
      <c r="G24" s="67"/>
      <c r="H24" s="67"/>
      <c r="I24" s="67"/>
      <c r="J24" s="67"/>
    </row>
    <row r="25" spans="2:10" x14ac:dyDescent="0.3">
      <c r="C25" s="68"/>
      <c r="D25" s="60"/>
      <c r="E25" s="69"/>
      <c r="F25" s="63"/>
      <c r="G25" s="64" t="s">
        <v>111</v>
      </c>
      <c r="H25" s="65"/>
      <c r="I25" s="65"/>
      <c r="J25" s="66"/>
    </row>
    <row r="26" spans="2:10" x14ac:dyDescent="0.3">
      <c r="C26" s="61" t="s">
        <v>103</v>
      </c>
      <c r="D26" s="61" t="s">
        <v>102</v>
      </c>
      <c r="E26" s="61" t="s">
        <v>104</v>
      </c>
      <c r="F26" s="61" t="s">
        <v>105</v>
      </c>
      <c r="G26" s="61" t="s">
        <v>106</v>
      </c>
      <c r="H26" s="61" t="s">
        <v>107</v>
      </c>
      <c r="I26" s="61" t="s">
        <v>108</v>
      </c>
      <c r="J26" s="61" t="s">
        <v>109</v>
      </c>
    </row>
    <row r="27" spans="2:10" x14ac:dyDescent="0.3">
      <c r="B27" t="s">
        <v>63</v>
      </c>
      <c r="C27" s="72">
        <v>268.99</v>
      </c>
      <c r="D27" s="72">
        <v>238.19</v>
      </c>
      <c r="E27" s="72">
        <v>207.44</v>
      </c>
    </row>
    <row r="28" spans="2:10" x14ac:dyDescent="0.3">
      <c r="B28" t="s">
        <v>77</v>
      </c>
      <c r="C28" s="72">
        <v>122.43</v>
      </c>
      <c r="D28" s="72">
        <v>84.58</v>
      </c>
      <c r="E28" s="72">
        <v>59.43</v>
      </c>
      <c r="F28" s="58">
        <f>F40*F11</f>
        <v>81.855444414709709</v>
      </c>
      <c r="G28" s="58">
        <f>G40*G11</f>
        <v>83.083276080930361</v>
      </c>
      <c r="H28" s="58">
        <f>H40*H11</f>
        <v>84.744941602548963</v>
      </c>
      <c r="I28" s="58">
        <f>I40*I11</f>
        <v>87.117799967420339</v>
      </c>
      <c r="J28" s="58">
        <f>J40*J11</f>
        <v>90.16692296628004</v>
      </c>
    </row>
    <row r="29" spans="2:10" x14ac:dyDescent="0.3">
      <c r="B29" t="s">
        <v>64</v>
      </c>
      <c r="C29" s="72">
        <v>298.35000000000002</v>
      </c>
      <c r="D29" s="72">
        <v>307.89</v>
      </c>
      <c r="E29" s="72">
        <v>278.63</v>
      </c>
      <c r="F29" s="58">
        <f>F11*F41</f>
        <v>277.00374623490194</v>
      </c>
      <c r="G29" s="58">
        <f>G11*G41</f>
        <v>281.15880242842547</v>
      </c>
      <c r="H29" s="58">
        <f>H11*H41</f>
        <v>286.78197847699397</v>
      </c>
      <c r="I29" s="58">
        <f>I11*I41</f>
        <v>294.81187387434977</v>
      </c>
      <c r="J29" s="58">
        <f>J11*J41</f>
        <v>305.130289459952</v>
      </c>
    </row>
    <row r="30" spans="2:10" x14ac:dyDescent="0.3">
      <c r="B30" t="s">
        <v>65</v>
      </c>
      <c r="C30" s="72">
        <v>7.3</v>
      </c>
      <c r="D30" s="72">
        <v>7.62</v>
      </c>
      <c r="E30" s="72">
        <v>8.06</v>
      </c>
      <c r="F30" s="58">
        <f>F42*F11</f>
        <v>7.2243960764475199</v>
      </c>
      <c r="G30" s="58">
        <f>G42*G11</f>
        <v>7.3327620175942325</v>
      </c>
      <c r="H30" s="58">
        <f>H42*H11</f>
        <v>7.4794172579461167</v>
      </c>
      <c r="I30" s="58">
        <f>I42*I11</f>
        <v>7.6888409411686078</v>
      </c>
      <c r="J30" s="58">
        <f>J42*J11</f>
        <v>7.957950374109509</v>
      </c>
    </row>
    <row r="32" spans="2:10" x14ac:dyDescent="0.3">
      <c r="B32" t="s">
        <v>66</v>
      </c>
      <c r="C32" s="72">
        <v>172</v>
      </c>
      <c r="D32" s="72">
        <v>162.80000000000001</v>
      </c>
      <c r="E32" s="72">
        <v>123.53</v>
      </c>
      <c r="F32" s="58">
        <f>F43*F11</f>
        <v>142.49966296409073</v>
      </c>
      <c r="G32" s="58">
        <f>G43*G11</f>
        <v>144.6371579085521</v>
      </c>
      <c r="H32" s="58">
        <f>H43*H11</f>
        <v>147.52990106672314</v>
      </c>
      <c r="I32" s="58">
        <f>I43*I11</f>
        <v>151.66073829659138</v>
      </c>
      <c r="J32" s="58">
        <f>J43*J11</f>
        <v>156.96886413697206</v>
      </c>
    </row>
    <row r="33" spans="2:10" x14ac:dyDescent="0.3">
      <c r="B33" t="s">
        <v>67</v>
      </c>
      <c r="C33" s="72">
        <v>33.5</v>
      </c>
      <c r="D33" s="72">
        <v>28.04</v>
      </c>
      <c r="E33" s="72">
        <v>21.83</v>
      </c>
      <c r="F33" s="58">
        <f>F44*F11</f>
        <v>25.834686559892347</v>
      </c>
      <c r="G33" s="58">
        <f>G44*G11</f>
        <v>26.222206858290729</v>
      </c>
      <c r="H33" s="58">
        <f>H44*H11</f>
        <v>26.746650995456545</v>
      </c>
      <c r="I33" s="58">
        <f>I44*I11</f>
        <v>27.495557223329328</v>
      </c>
      <c r="J33" s="58">
        <f>J44*J11</f>
        <v>28.457901726145852</v>
      </c>
    </row>
    <row r="35" spans="2:10" x14ac:dyDescent="0.3">
      <c r="B35" t="s">
        <v>68</v>
      </c>
      <c r="C35" s="72">
        <v>121.6</v>
      </c>
      <c r="D35" s="72">
        <v>113.3</v>
      </c>
      <c r="E35" s="72">
        <v>104.3</v>
      </c>
    </row>
    <row r="36" spans="2:10" x14ac:dyDescent="0.3">
      <c r="B36" t="s">
        <v>116</v>
      </c>
      <c r="C36" s="72">
        <v>5.3</v>
      </c>
      <c r="D36" s="72">
        <v>4.7</v>
      </c>
      <c r="E36" s="72">
        <v>3.6</v>
      </c>
    </row>
    <row r="37" spans="2:10" x14ac:dyDescent="0.3">
      <c r="C37" s="80"/>
      <c r="D37" s="80"/>
      <c r="E37" s="80"/>
    </row>
    <row r="38" spans="2:10" x14ac:dyDescent="0.3">
      <c r="B38" t="s">
        <v>69</v>
      </c>
      <c r="C38" s="72">
        <v>817.3</v>
      </c>
      <c r="D38" s="72">
        <v>734.19</v>
      </c>
      <c r="E38" s="72">
        <v>635.26</v>
      </c>
    </row>
    <row r="40" spans="2:10" x14ac:dyDescent="0.3">
      <c r="B40" t="s">
        <v>121</v>
      </c>
      <c r="C40" s="96">
        <f>C28/C11</f>
        <v>0.10590830449826991</v>
      </c>
      <c r="D40" s="96">
        <f>D28/D11</f>
        <v>8.1719806763285024E-2</v>
      </c>
      <c r="E40" s="96">
        <f>E28/E11</f>
        <v>6.0858345365733771E-2</v>
      </c>
      <c r="F40" s="95">
        <f>AVERAGE($C$40:$E$40)</f>
        <v>8.2828818875762891E-2</v>
      </c>
      <c r="G40" s="95">
        <f t="shared" ref="G40:J40" si="9">AVERAGE($C$40:$E$40)</f>
        <v>8.2828818875762891E-2</v>
      </c>
      <c r="H40" s="95">
        <f t="shared" si="9"/>
        <v>8.2828818875762891E-2</v>
      </c>
      <c r="I40" s="95">
        <f t="shared" si="9"/>
        <v>8.2828818875762891E-2</v>
      </c>
      <c r="J40" s="95">
        <f t="shared" si="9"/>
        <v>8.2828818875762891E-2</v>
      </c>
    </row>
    <row r="41" spans="2:10" x14ac:dyDescent="0.3">
      <c r="B41" t="s">
        <v>123</v>
      </c>
      <c r="C41" s="96">
        <f>C29/C11</f>
        <v>0.25808823529411767</v>
      </c>
      <c r="D41" s="96">
        <f>D29/D11</f>
        <v>0.29747826086956519</v>
      </c>
      <c r="E41" s="96">
        <f>E29/E11</f>
        <v>0.28532661566976947</v>
      </c>
      <c r="F41" s="95">
        <f>AVERAGE($C$41:$E$41)</f>
        <v>0.28029770394448411</v>
      </c>
      <c r="G41" s="95">
        <f t="shared" ref="G41:J41" si="10">AVERAGE($C$41:$E$41)</f>
        <v>0.28029770394448411</v>
      </c>
      <c r="H41" s="95">
        <f t="shared" si="10"/>
        <v>0.28029770394448411</v>
      </c>
      <c r="I41" s="95">
        <f t="shared" si="10"/>
        <v>0.28029770394448411</v>
      </c>
      <c r="J41" s="95">
        <f t="shared" si="10"/>
        <v>0.28029770394448411</v>
      </c>
    </row>
    <row r="42" spans="2:10" x14ac:dyDescent="0.3">
      <c r="B42" t="s">
        <v>124</v>
      </c>
      <c r="C42" s="96">
        <f>C30/C11</f>
        <v>6.3148788927335636E-3</v>
      </c>
      <c r="D42" s="96">
        <f>D30/D11</f>
        <v>7.3623188405797105E-3</v>
      </c>
      <c r="E42" s="96">
        <f>E30/E11</f>
        <v>8.2537146836246713E-3</v>
      </c>
      <c r="F42" s="95">
        <f>AVERAGE($C$42:$E$42)</f>
        <v>7.3103041389793151E-3</v>
      </c>
      <c r="G42" s="95">
        <f t="shared" ref="G42:J42" si="11">AVERAGE($C$42:$E$42)</f>
        <v>7.3103041389793151E-3</v>
      </c>
      <c r="H42" s="95">
        <f t="shared" si="11"/>
        <v>7.3103041389793151E-3</v>
      </c>
      <c r="I42" s="95">
        <f t="shared" si="11"/>
        <v>7.3103041389793151E-3</v>
      </c>
      <c r="J42" s="95">
        <f t="shared" si="11"/>
        <v>7.3103041389793151E-3</v>
      </c>
    </row>
    <row r="43" spans="2:10" x14ac:dyDescent="0.3">
      <c r="B43" t="s">
        <v>119</v>
      </c>
      <c r="C43" s="96">
        <f>C32/C11</f>
        <v>0.14878892733564014</v>
      </c>
      <c r="D43" s="96">
        <f>D32/D11</f>
        <v>0.15729468599033816</v>
      </c>
      <c r="E43" s="96">
        <f>E32/E11</f>
        <v>0.12649892988438655</v>
      </c>
      <c r="F43" s="95">
        <f>AVERAGE($C$43:$E$43)</f>
        <v>0.14419418107012164</v>
      </c>
      <c r="G43" s="95">
        <f t="shared" ref="G43:J43" si="12">AVERAGE($C$43:$E$43)</f>
        <v>0.14419418107012164</v>
      </c>
      <c r="H43" s="95">
        <f t="shared" si="12"/>
        <v>0.14419418107012164</v>
      </c>
      <c r="I43" s="95">
        <f t="shared" si="12"/>
        <v>0.14419418107012164</v>
      </c>
      <c r="J43" s="95">
        <f t="shared" si="12"/>
        <v>0.14419418107012164</v>
      </c>
    </row>
    <row r="44" spans="2:10" x14ac:dyDescent="0.3">
      <c r="B44" t="s">
        <v>125</v>
      </c>
      <c r="C44" s="96">
        <f>C33/C11</f>
        <v>2.8979238754325259E-2</v>
      </c>
      <c r="D44" s="96">
        <f>D33/D11</f>
        <v>2.7091787439613525E-2</v>
      </c>
      <c r="E44" s="96">
        <f>E33/E11</f>
        <v>2.2354663963216694E-2</v>
      </c>
      <c r="F44" s="95">
        <f>AVERAGE($C$44:$E$44)</f>
        <v>2.6141896719051826E-2</v>
      </c>
      <c r="G44" s="95">
        <f t="shared" ref="G44:J44" si="13">AVERAGE($C$44:$E$44)</f>
        <v>2.6141896719051826E-2</v>
      </c>
      <c r="H44" s="95">
        <f t="shared" si="13"/>
        <v>2.6141896719051826E-2</v>
      </c>
      <c r="I44" s="95">
        <f t="shared" si="13"/>
        <v>2.6141896719051826E-2</v>
      </c>
      <c r="J44" s="95">
        <f t="shared" si="13"/>
        <v>2.6141896719051826E-2</v>
      </c>
    </row>
    <row r="45" spans="2:10" x14ac:dyDescent="0.3">
      <c r="B45" t="s">
        <v>122</v>
      </c>
      <c r="C45" s="96">
        <f>C81/C11</f>
        <v>-5.0250865051903119E-2</v>
      </c>
      <c r="D45" s="96">
        <f>D81/D11</f>
        <v>-5.9236714975845414E-2</v>
      </c>
      <c r="E45" s="96">
        <f>E81/E11</f>
        <v>-4.0531268880628343E-2</v>
      </c>
      <c r="F45" s="99">
        <f>AVERAGE($C$45:$E$45)</f>
        <v>-5.000628296945895E-2</v>
      </c>
      <c r="G45" s="95">
        <f t="shared" ref="G45:J45" si="14">AVERAGE($C$45:$E$45)</f>
        <v>-5.000628296945895E-2</v>
      </c>
      <c r="H45" s="95">
        <f t="shared" si="14"/>
        <v>-5.000628296945895E-2</v>
      </c>
      <c r="I45" s="95">
        <f t="shared" si="14"/>
        <v>-5.000628296945895E-2</v>
      </c>
      <c r="J45" s="95">
        <f t="shared" si="14"/>
        <v>-5.000628296945895E-2</v>
      </c>
    </row>
    <row r="46" spans="2:10" x14ac:dyDescent="0.3">
      <c r="C46" s="96"/>
      <c r="D46" s="96"/>
      <c r="E46" s="96"/>
      <c r="F46" s="127"/>
      <c r="G46" s="128"/>
      <c r="H46" s="128"/>
      <c r="I46" s="128"/>
      <c r="J46" s="128"/>
    </row>
    <row r="47" spans="2:10" ht="18.600000000000001" thickBot="1" x14ac:dyDescent="0.4">
      <c r="B47" s="67" t="s">
        <v>82</v>
      </c>
      <c r="C47" s="67"/>
      <c r="D47" s="67"/>
      <c r="E47" s="67"/>
      <c r="F47" s="67"/>
      <c r="G47" s="67"/>
      <c r="H47" s="67"/>
      <c r="I47" s="67"/>
      <c r="J47" s="67"/>
    </row>
    <row r="48" spans="2:10" x14ac:dyDescent="0.3">
      <c r="B48" t="s">
        <v>83</v>
      </c>
      <c r="D48" s="58">
        <f>C5</f>
        <v>10.27</v>
      </c>
    </row>
    <row r="49" spans="2:10" x14ac:dyDescent="0.3">
      <c r="B49" t="s">
        <v>84</v>
      </c>
      <c r="D49">
        <v>165.2</v>
      </c>
    </row>
    <row r="50" spans="2:10" x14ac:dyDescent="0.3">
      <c r="B50" t="s">
        <v>85</v>
      </c>
      <c r="D50" s="102">
        <f>AVERAGE(C36:E36)/AVERAGE(C35:E35)</f>
        <v>4.0094339622641507E-2</v>
      </c>
    </row>
    <row r="51" spans="2:10" x14ac:dyDescent="0.3">
      <c r="B51" t="s">
        <v>86</v>
      </c>
      <c r="D51" s="95">
        <v>0.24</v>
      </c>
    </row>
    <row r="52" spans="2:10" x14ac:dyDescent="0.3">
      <c r="B52" t="s">
        <v>87</v>
      </c>
      <c r="D52" s="96">
        <f>D50*(1-D51)</f>
        <v>3.0471698113207546E-2</v>
      </c>
    </row>
    <row r="53" spans="2:10" x14ac:dyDescent="0.3">
      <c r="B53" t="s">
        <v>117</v>
      </c>
      <c r="D53" s="82">
        <f>0.74*(1+(1-D51)*(D55/D56))</f>
        <v>0.77620883950617281</v>
      </c>
    </row>
    <row r="54" spans="2:10" x14ac:dyDescent="0.3">
      <c r="B54" t="s">
        <v>88</v>
      </c>
      <c r="D54" s="96">
        <f>(3.59+D53*5.05)%</f>
        <v>7.5098546395061722E-2</v>
      </c>
    </row>
    <row r="55" spans="2:10" x14ac:dyDescent="0.3">
      <c r="B55" t="s">
        <v>89</v>
      </c>
      <c r="D55" s="58">
        <f>E35</f>
        <v>104.3</v>
      </c>
    </row>
    <row r="56" spans="2:10" x14ac:dyDescent="0.3">
      <c r="B56" t="s">
        <v>90</v>
      </c>
      <c r="D56" s="58">
        <v>1620</v>
      </c>
    </row>
    <row r="57" spans="2:10" x14ac:dyDescent="0.3">
      <c r="B57" s="4" t="s">
        <v>91</v>
      </c>
      <c r="D57" s="90">
        <f>D55+D56</f>
        <v>1724.3</v>
      </c>
    </row>
    <row r="58" spans="2:10" x14ac:dyDescent="0.3">
      <c r="B58" t="s">
        <v>92</v>
      </c>
      <c r="D58" s="96">
        <f>D55/D57</f>
        <v>6.0488314098474744E-2</v>
      </c>
    </row>
    <row r="59" spans="2:10" x14ac:dyDescent="0.3">
      <c r="B59" t="s">
        <v>93</v>
      </c>
      <c r="D59" s="96">
        <f>D56/D57</f>
        <v>0.93951168590152523</v>
      </c>
    </row>
    <row r="60" spans="2:10" x14ac:dyDescent="0.3">
      <c r="B60" s="4" t="s">
        <v>110</v>
      </c>
      <c r="D60" s="97">
        <f>((D59*D54)+(D58*D52))</f>
        <v>7.2399143578963945E-2</v>
      </c>
    </row>
    <row r="61" spans="2:10" ht="18.600000000000001" thickBot="1" x14ac:dyDescent="0.4">
      <c r="B61" s="67" t="s">
        <v>126</v>
      </c>
      <c r="C61" s="67"/>
      <c r="D61" s="67"/>
      <c r="E61" s="67"/>
      <c r="F61" s="67"/>
      <c r="G61" s="67"/>
      <c r="H61" s="67"/>
      <c r="I61" s="67"/>
      <c r="J61" s="67"/>
    </row>
    <row r="62" spans="2:10" x14ac:dyDescent="0.3">
      <c r="B62" s="59" t="s">
        <v>71</v>
      </c>
      <c r="F62" s="63"/>
      <c r="G62" s="64" t="s">
        <v>111</v>
      </c>
      <c r="H62" s="65"/>
      <c r="I62" s="65"/>
      <c r="J62" s="66"/>
    </row>
    <row r="63" spans="2:10" x14ac:dyDescent="0.3">
      <c r="C63" s="61" t="s">
        <v>103</v>
      </c>
      <c r="D63" s="61" t="s">
        <v>102</v>
      </c>
      <c r="E63" s="61" t="s">
        <v>104</v>
      </c>
      <c r="F63" s="61" t="s">
        <v>105</v>
      </c>
      <c r="G63" s="61" t="s">
        <v>106</v>
      </c>
      <c r="H63" s="61" t="s">
        <v>107</v>
      </c>
      <c r="I63" s="61" t="s">
        <v>108</v>
      </c>
      <c r="J63" s="61" t="s">
        <v>109</v>
      </c>
    </row>
    <row r="64" spans="2:10" x14ac:dyDescent="0.3">
      <c r="B64" t="s">
        <v>77</v>
      </c>
      <c r="C64" s="58">
        <f>C28</f>
        <v>122.43</v>
      </c>
      <c r="D64" s="58">
        <f t="shared" ref="D64:J64" si="15">D28</f>
        <v>84.58</v>
      </c>
      <c r="E64" s="58">
        <f t="shared" si="15"/>
        <v>59.43</v>
      </c>
      <c r="F64" s="58">
        <f t="shared" si="15"/>
        <v>81.855444414709709</v>
      </c>
      <c r="G64" s="58">
        <f t="shared" si="15"/>
        <v>83.083276080930361</v>
      </c>
      <c r="H64" s="58">
        <f t="shared" si="15"/>
        <v>84.744941602548963</v>
      </c>
      <c r="I64" s="58">
        <f t="shared" si="15"/>
        <v>87.117799967420339</v>
      </c>
      <c r="J64" s="58">
        <f t="shared" si="15"/>
        <v>90.16692296628004</v>
      </c>
    </row>
    <row r="65" spans="2:13" x14ac:dyDescent="0.3">
      <c r="B65" t="s">
        <v>64</v>
      </c>
      <c r="C65" s="58">
        <f>C29</f>
        <v>298.35000000000002</v>
      </c>
      <c r="D65" s="58">
        <f t="shared" ref="D65:J65" si="16">D29</f>
        <v>307.89</v>
      </c>
      <c r="E65" s="58">
        <f t="shared" si="16"/>
        <v>278.63</v>
      </c>
      <c r="F65" s="58">
        <f t="shared" si="16"/>
        <v>277.00374623490194</v>
      </c>
      <c r="G65" s="58">
        <f t="shared" si="16"/>
        <v>281.15880242842547</v>
      </c>
      <c r="H65" s="58">
        <f t="shared" si="16"/>
        <v>286.78197847699397</v>
      </c>
      <c r="I65" s="58">
        <f t="shared" si="16"/>
        <v>294.81187387434977</v>
      </c>
      <c r="J65" s="58">
        <f t="shared" si="16"/>
        <v>305.130289459952</v>
      </c>
      <c r="M65" s="4"/>
    </row>
    <row r="66" spans="2:13" x14ac:dyDescent="0.3">
      <c r="B66" t="s">
        <v>65</v>
      </c>
      <c r="C66" s="58">
        <f>C30</f>
        <v>7.3</v>
      </c>
      <c r="D66" s="58">
        <f t="shared" ref="D66:J66" si="17">D30</f>
        <v>7.62</v>
      </c>
      <c r="E66" s="58">
        <f t="shared" si="17"/>
        <v>8.06</v>
      </c>
      <c r="F66" s="58">
        <f t="shared" si="17"/>
        <v>7.2243960764475199</v>
      </c>
      <c r="G66" s="58">
        <f t="shared" si="17"/>
        <v>7.3327620175942325</v>
      </c>
      <c r="H66" s="58">
        <f t="shared" si="17"/>
        <v>7.4794172579461167</v>
      </c>
      <c r="I66" s="58">
        <f t="shared" si="17"/>
        <v>7.6888409411686078</v>
      </c>
      <c r="J66" s="58">
        <f t="shared" si="17"/>
        <v>7.957950374109509</v>
      </c>
    </row>
    <row r="67" spans="2:13" x14ac:dyDescent="0.3">
      <c r="B67" t="s">
        <v>127</v>
      </c>
      <c r="C67" s="58">
        <f>-C32</f>
        <v>-172</v>
      </c>
      <c r="D67" s="58">
        <f t="shared" ref="D67:J67" si="18">-D32</f>
        <v>-162.80000000000001</v>
      </c>
      <c r="E67" s="58">
        <f t="shared" si="18"/>
        <v>-123.53</v>
      </c>
      <c r="F67" s="58">
        <f t="shared" si="18"/>
        <v>-142.49966296409073</v>
      </c>
      <c r="G67" s="58">
        <f t="shared" si="18"/>
        <v>-144.6371579085521</v>
      </c>
      <c r="H67" s="58">
        <f t="shared" si="18"/>
        <v>-147.52990106672314</v>
      </c>
      <c r="I67" s="58">
        <f t="shared" si="18"/>
        <v>-151.66073829659138</v>
      </c>
      <c r="J67" s="58">
        <f t="shared" si="18"/>
        <v>-156.96886413697206</v>
      </c>
    </row>
    <row r="68" spans="2:13" x14ac:dyDescent="0.3">
      <c r="B68" t="s">
        <v>128</v>
      </c>
      <c r="C68" s="58">
        <f>-C33</f>
        <v>-33.5</v>
      </c>
      <c r="D68" s="58">
        <f t="shared" ref="D68:J68" si="19">-D33</f>
        <v>-28.04</v>
      </c>
      <c r="E68" s="58">
        <f t="shared" si="19"/>
        <v>-21.83</v>
      </c>
      <c r="F68" s="58">
        <f t="shared" si="19"/>
        <v>-25.834686559892347</v>
      </c>
      <c r="G68" s="58">
        <f t="shared" si="19"/>
        <v>-26.222206858290729</v>
      </c>
      <c r="H68" s="58">
        <f t="shared" si="19"/>
        <v>-26.746650995456545</v>
      </c>
      <c r="I68" s="58">
        <f t="shared" si="19"/>
        <v>-27.495557223329328</v>
      </c>
      <c r="J68" s="58">
        <f t="shared" si="19"/>
        <v>-28.457901726145852</v>
      </c>
    </row>
    <row r="69" spans="2:13" x14ac:dyDescent="0.3">
      <c r="B69" s="4" t="s">
        <v>126</v>
      </c>
      <c r="C69" s="92">
        <f>SUM(C64:C68)</f>
        <v>222.58000000000004</v>
      </c>
      <c r="D69" s="92">
        <f t="shared" ref="D69:J69" si="20">SUM(D64:D68)</f>
        <v>209.24999999999997</v>
      </c>
      <c r="E69" s="92">
        <f t="shared" si="20"/>
        <v>200.76</v>
      </c>
      <c r="F69" s="92">
        <f t="shared" si="20"/>
        <v>197.74923720207613</v>
      </c>
      <c r="G69" s="92">
        <f t="shared" si="20"/>
        <v>200.71547576010727</v>
      </c>
      <c r="H69" s="92">
        <f t="shared" si="20"/>
        <v>204.72978527530938</v>
      </c>
      <c r="I69" s="92">
        <f t="shared" si="20"/>
        <v>210.46221926301803</v>
      </c>
      <c r="J69" s="92">
        <f t="shared" si="20"/>
        <v>217.8283969372236</v>
      </c>
    </row>
    <row r="70" spans="2:13" ht="18.600000000000001" thickBot="1" x14ac:dyDescent="0.4">
      <c r="B70" s="67" t="s">
        <v>70</v>
      </c>
      <c r="C70" s="67"/>
      <c r="D70" s="67"/>
      <c r="E70" s="67"/>
      <c r="F70" s="67"/>
      <c r="G70" s="67"/>
      <c r="H70" s="67"/>
      <c r="I70" s="67"/>
      <c r="J70" s="67"/>
    </row>
    <row r="71" spans="2:13" x14ac:dyDescent="0.3">
      <c r="B71" s="59" t="s">
        <v>71</v>
      </c>
      <c r="C71" s="68"/>
      <c r="D71" s="60"/>
      <c r="E71" s="69"/>
      <c r="F71" s="63"/>
      <c r="G71" s="64" t="s">
        <v>111</v>
      </c>
      <c r="H71" s="65"/>
      <c r="I71" s="65"/>
      <c r="J71" s="66"/>
    </row>
    <row r="72" spans="2:13" x14ac:dyDescent="0.3">
      <c r="C72" s="61" t="s">
        <v>103</v>
      </c>
      <c r="D72" s="61" t="s">
        <v>102</v>
      </c>
      <c r="E72" s="61" t="s">
        <v>104</v>
      </c>
      <c r="F72" s="61" t="s">
        <v>105</v>
      </c>
      <c r="G72" s="61" t="s">
        <v>106</v>
      </c>
      <c r="H72" s="61" t="s">
        <v>107</v>
      </c>
      <c r="I72" s="61" t="s">
        <v>108</v>
      </c>
      <c r="J72" s="61" t="s">
        <v>109</v>
      </c>
    </row>
    <row r="73" spans="2:13" x14ac:dyDescent="0.3">
      <c r="B73" t="s">
        <v>72</v>
      </c>
      <c r="C73" s="62"/>
      <c r="D73" s="62"/>
      <c r="E73" s="62"/>
      <c r="F73" s="62">
        <v>1</v>
      </c>
      <c r="G73" s="62">
        <v>2</v>
      </c>
      <c r="H73" s="62">
        <v>3</v>
      </c>
      <c r="I73" s="62">
        <v>4</v>
      </c>
      <c r="J73" s="62">
        <v>5</v>
      </c>
    </row>
    <row r="74" spans="2:13" x14ac:dyDescent="0.3">
      <c r="B74" t="s">
        <v>73</v>
      </c>
      <c r="F74" s="58">
        <f>F11</f>
        <v>988.24835999999993</v>
      </c>
      <c r="G74" s="58">
        <f>G11</f>
        <v>1003.0720853999999</v>
      </c>
      <c r="H74" s="58">
        <f>H11</f>
        <v>1023.1335271079998</v>
      </c>
      <c r="I74" s="58">
        <f>I11</f>
        <v>1051.7812658670239</v>
      </c>
      <c r="J74" s="58">
        <f>J11</f>
        <v>1088.5936101723696</v>
      </c>
    </row>
    <row r="75" spans="2:13" x14ac:dyDescent="0.3">
      <c r="B75" t="s">
        <v>55</v>
      </c>
      <c r="F75" s="58">
        <f>F15</f>
        <v>88.94235239999999</v>
      </c>
      <c r="G75" s="58">
        <f>G15</f>
        <v>95.291848112999986</v>
      </c>
      <c r="H75" s="58">
        <f>H15</f>
        <v>104.35961976501598</v>
      </c>
      <c r="I75" s="58">
        <f>I15</f>
        <v>114.64415797950561</v>
      </c>
      <c r="J75" s="58">
        <f>J15</f>
        <v>125.18826516982251</v>
      </c>
    </row>
    <row r="76" spans="2:13" x14ac:dyDescent="0.3">
      <c r="B76" t="s">
        <v>74</v>
      </c>
      <c r="F76" s="58">
        <f>F19</f>
        <v>-138.9341048439062</v>
      </c>
      <c r="G76" s="58">
        <f>G19</f>
        <v>-136.00275598956478</v>
      </c>
      <c r="H76" s="58">
        <f>H19</f>
        <v>-131.56087641960005</v>
      </c>
      <c r="I76" s="58">
        <f>I19</f>
        <v>-127.88211209827971</v>
      </c>
      <c r="J76" s="58">
        <f>J19</f>
        <v>-125.82642436068527</v>
      </c>
    </row>
    <row r="77" spans="2:13" x14ac:dyDescent="0.3">
      <c r="B77" t="s">
        <v>75</v>
      </c>
      <c r="F77" s="79">
        <v>0.24</v>
      </c>
      <c r="G77" s="79">
        <v>0.24</v>
      </c>
      <c r="H77" s="79">
        <v>0.24</v>
      </c>
      <c r="I77" s="79">
        <v>0.24</v>
      </c>
      <c r="J77" s="79">
        <v>0.24</v>
      </c>
    </row>
    <row r="78" spans="2:13" x14ac:dyDescent="0.3">
      <c r="B78" s="4" t="s">
        <v>76</v>
      </c>
      <c r="F78" s="92">
        <f>F76*(1-F77)</f>
        <v>-105.58991968136871</v>
      </c>
      <c r="G78" s="92">
        <f t="shared" ref="G78:J78" si="21">G76*(1-G77)</f>
        <v>-103.36209455206924</v>
      </c>
      <c r="H78" s="92">
        <f t="shared" si="21"/>
        <v>-99.986266078896037</v>
      </c>
      <c r="I78" s="92">
        <f t="shared" si="21"/>
        <v>-97.190405194692573</v>
      </c>
      <c r="J78" s="92">
        <f t="shared" si="21"/>
        <v>-95.628082514120806</v>
      </c>
    </row>
    <row r="79" spans="2:13" x14ac:dyDescent="0.3">
      <c r="B79" t="s">
        <v>59</v>
      </c>
      <c r="F79" s="58">
        <f>F22</f>
        <v>227.87645724390617</v>
      </c>
      <c r="G79" s="58">
        <f>G22</f>
        <v>231.29460410256476</v>
      </c>
      <c r="H79" s="58">
        <f>H22</f>
        <v>235.92049618461604</v>
      </c>
      <c r="I79" s="58">
        <f>I22</f>
        <v>242.52627007778531</v>
      </c>
      <c r="J79" s="58">
        <f>J22</f>
        <v>251.01468953050778</v>
      </c>
    </row>
    <row r="80" spans="2:13" x14ac:dyDescent="0.3">
      <c r="B80" t="s">
        <v>129</v>
      </c>
      <c r="F80" s="58">
        <f>-(F69-E69)</f>
        <v>3.01076279792386</v>
      </c>
      <c r="G80" s="58">
        <f t="shared" ref="G80:J80" si="22">-(G69-F69)</f>
        <v>-2.9662385580311366</v>
      </c>
      <c r="H80" s="58">
        <f t="shared" si="22"/>
        <v>-4.0143095152021147</v>
      </c>
      <c r="I80" s="58">
        <f t="shared" si="22"/>
        <v>-5.7324339877086459</v>
      </c>
      <c r="J80" s="58">
        <f t="shared" si="22"/>
        <v>-7.3661776742055736</v>
      </c>
    </row>
    <row r="81" spans="2:10" x14ac:dyDescent="0.3">
      <c r="B81" t="s">
        <v>78</v>
      </c>
      <c r="C81" s="58">
        <v>-58.09</v>
      </c>
      <c r="D81" s="58">
        <v>-61.31</v>
      </c>
      <c r="E81" s="58">
        <v>-39.58</v>
      </c>
      <c r="F81" s="58">
        <f>(F45*F11)</f>
        <v>-49.418627134263737</v>
      </c>
      <c r="G81" s="58">
        <f>(G45*G11)</f>
        <v>-50.159906541277685</v>
      </c>
      <c r="H81" s="58">
        <f>(H45*H11)</f>
        <v>-51.163104672103238</v>
      </c>
      <c r="I81" s="58">
        <f>(I45*I11)</f>
        <v>-52.595671602922131</v>
      </c>
      <c r="J81" s="58">
        <f>(J45*J11)</f>
        <v>-54.4365201090244</v>
      </c>
    </row>
    <row r="82" spans="2:10" x14ac:dyDescent="0.3">
      <c r="B82" s="4" t="s">
        <v>79</v>
      </c>
      <c r="F82" s="92">
        <f>SUM(F78:F81)</f>
        <v>75.878673226197577</v>
      </c>
      <c r="G82" s="92">
        <f>SUM(G78:G81)</f>
        <v>74.80636445118671</v>
      </c>
      <c r="H82" s="92">
        <f>SUM(H78:H81)</f>
        <v>80.756815918414674</v>
      </c>
      <c r="I82" s="92">
        <f>SUM(I78:I81)</f>
        <v>87.007759292461969</v>
      </c>
      <c r="J82" s="92">
        <f>SUM(J78:J81)</f>
        <v>93.583909233156987</v>
      </c>
    </row>
    <row r="83" spans="2:10" x14ac:dyDescent="0.3">
      <c r="B83" t="s">
        <v>112</v>
      </c>
      <c r="F83" s="98">
        <f>$D$60</f>
        <v>7.2399143578963945E-2</v>
      </c>
      <c r="G83" s="98">
        <f t="shared" ref="G83:J83" si="23">$D$60</f>
        <v>7.2399143578963945E-2</v>
      </c>
      <c r="H83" s="98">
        <f t="shared" si="23"/>
        <v>7.2399143578963945E-2</v>
      </c>
      <c r="I83" s="98">
        <f t="shared" si="23"/>
        <v>7.2399143578963945E-2</v>
      </c>
      <c r="J83" s="98">
        <f t="shared" si="23"/>
        <v>7.2399143578963945E-2</v>
      </c>
    </row>
    <row r="84" spans="2:10" x14ac:dyDescent="0.3">
      <c r="B84" s="4" t="s">
        <v>80</v>
      </c>
      <c r="F84" s="91">
        <f>F82/((1+F83)^F73)</f>
        <v>70.755999462070065</v>
      </c>
      <c r="G84" s="91">
        <f t="shared" ref="G84:J84" si="24">G82/((1+G83)^G73)</f>
        <v>65.046754417326042</v>
      </c>
      <c r="H84" s="91">
        <f t="shared" si="24"/>
        <v>65.480172040069817</v>
      </c>
      <c r="I84" s="91">
        <f t="shared" si="24"/>
        <v>65.785798504561285</v>
      </c>
      <c r="J84" s="91">
        <f t="shared" si="24"/>
        <v>65.980999546322053</v>
      </c>
    </row>
    <row r="85" spans="2:10" x14ac:dyDescent="0.3">
      <c r="B85" s="4" t="s">
        <v>81</v>
      </c>
      <c r="C85" s="92">
        <f>SUM(F84:J84)</f>
        <v>333.04972397034925</v>
      </c>
      <c r="F85" s="58"/>
      <c r="G85" s="58"/>
      <c r="H85" s="58"/>
      <c r="I85" s="58"/>
      <c r="J85" s="58"/>
    </row>
    <row r="86" spans="2:10" ht="18.600000000000001" thickBot="1" x14ac:dyDescent="0.4">
      <c r="B86" s="67" t="s">
        <v>94</v>
      </c>
      <c r="C86" s="67"/>
      <c r="D86" s="67"/>
      <c r="E86" s="67"/>
      <c r="F86" s="67"/>
      <c r="G86" s="67"/>
      <c r="H86" s="67"/>
      <c r="I86" s="67"/>
      <c r="J86" s="67"/>
    </row>
    <row r="87" spans="2:10" x14ac:dyDescent="0.3">
      <c r="B87" s="4" t="s">
        <v>95</v>
      </c>
    </row>
    <row r="88" spans="2:10" x14ac:dyDescent="0.3">
      <c r="B88" t="s">
        <v>96</v>
      </c>
      <c r="C88" s="78">
        <v>0.02</v>
      </c>
    </row>
    <row r="89" spans="2:10" x14ac:dyDescent="0.3">
      <c r="B89" t="s">
        <v>82</v>
      </c>
      <c r="C89" s="13">
        <f>D60</f>
        <v>7.2399143578963945E-2</v>
      </c>
    </row>
    <row r="90" spans="2:10" x14ac:dyDescent="0.3">
      <c r="B90" t="s">
        <v>97</v>
      </c>
      <c r="C90" s="58">
        <f>J82*(1+C88)</f>
        <v>95.455587417820126</v>
      </c>
    </row>
    <row r="91" spans="2:10" x14ac:dyDescent="0.3">
      <c r="B91" t="s">
        <v>94</v>
      </c>
      <c r="C91" s="58">
        <f>C90/(C89-C88)</f>
        <v>1821.7012893344604</v>
      </c>
    </row>
    <row r="92" spans="2:10" x14ac:dyDescent="0.3">
      <c r="B92" s="4" t="s">
        <v>118</v>
      </c>
      <c r="C92" s="92">
        <f>C91/((1+C89)^J73)</f>
        <v>1284.3839601276779</v>
      </c>
    </row>
    <row r="93" spans="2:10" ht="18.600000000000001" thickBot="1" x14ac:dyDescent="0.4">
      <c r="B93" s="67" t="s">
        <v>98</v>
      </c>
      <c r="C93" s="67"/>
      <c r="D93" s="67"/>
      <c r="E93" s="67"/>
      <c r="F93" s="67"/>
      <c r="G93" s="67"/>
      <c r="H93" s="67"/>
      <c r="I93" s="67"/>
      <c r="J93" s="67"/>
    </row>
    <row r="94" spans="2:10" x14ac:dyDescent="0.3">
      <c r="B94" t="s">
        <v>99</v>
      </c>
      <c r="C94" s="58">
        <f>C92+C85</f>
        <v>1617.4336840980272</v>
      </c>
    </row>
    <row r="95" spans="2:10" x14ac:dyDescent="0.3">
      <c r="B95" t="s">
        <v>100</v>
      </c>
      <c r="C95" s="58">
        <f>E35-E27</f>
        <v>-103.14</v>
      </c>
    </row>
    <row r="96" spans="2:10" x14ac:dyDescent="0.3">
      <c r="B96" s="4" t="s">
        <v>101</v>
      </c>
      <c r="C96" s="92">
        <f>C94-C95</f>
        <v>1720.5736840980273</v>
      </c>
    </row>
    <row r="97" spans="2:3" x14ac:dyDescent="0.3">
      <c r="B97" t="s">
        <v>84</v>
      </c>
      <c r="C97">
        <f>C6</f>
        <v>165.68</v>
      </c>
    </row>
    <row r="98" spans="2:3" x14ac:dyDescent="0.3">
      <c r="B98" s="77" t="s">
        <v>113</v>
      </c>
      <c r="C98" s="93">
        <f>C96/C97</f>
        <v>10.38492083593691</v>
      </c>
    </row>
  </sheetData>
  <pageMargins left="0.7" right="0.7" top="0.75" bottom="0.75" header="0.3" footer="0.3"/>
  <pageSetup paperSize="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02B0B-1B04-4D15-A1D5-C4EF1DD2ABBF}">
  <dimension ref="B2:M98"/>
  <sheetViews>
    <sheetView topLeftCell="A56" zoomScale="94" zoomScaleNormal="94" workbookViewId="0">
      <selection activeCell="T74" sqref="T74"/>
    </sheetView>
  </sheetViews>
  <sheetFormatPr defaultRowHeight="14.4" x14ac:dyDescent="0.3"/>
  <cols>
    <col min="2" max="2" width="35.5546875" customWidth="1"/>
    <col min="3" max="3" width="10.88671875" bestFit="1" customWidth="1"/>
    <col min="4" max="10" width="9.77734375" bestFit="1" customWidth="1"/>
  </cols>
  <sheetData>
    <row r="2" spans="2:10" ht="28.8" x14ac:dyDescent="0.55000000000000004">
      <c r="B2" s="1" t="s">
        <v>114</v>
      </c>
    </row>
    <row r="4" spans="2:10" x14ac:dyDescent="0.3">
      <c r="B4" t="s">
        <v>49</v>
      </c>
      <c r="C4" s="71" t="s">
        <v>50</v>
      </c>
    </row>
    <row r="5" spans="2:10" x14ac:dyDescent="0.3">
      <c r="B5" t="s">
        <v>51</v>
      </c>
      <c r="C5" s="72">
        <f>11.12*1.14</f>
        <v>12.676799999999998</v>
      </c>
    </row>
    <row r="6" spans="2:10" x14ac:dyDescent="0.3">
      <c r="B6" t="s">
        <v>115</v>
      </c>
      <c r="C6" s="73">
        <v>358.21</v>
      </c>
    </row>
    <row r="8" spans="2:10" ht="18.600000000000001" thickBot="1" x14ac:dyDescent="0.4">
      <c r="B8" s="67" t="s">
        <v>61</v>
      </c>
      <c r="C8" s="70"/>
      <c r="D8" s="70"/>
      <c r="E8" s="70"/>
      <c r="F8" s="70"/>
      <c r="G8" s="70"/>
      <c r="H8" s="70"/>
      <c r="I8" s="70"/>
      <c r="J8" s="70"/>
    </row>
    <row r="9" spans="2:10" x14ac:dyDescent="0.3">
      <c r="C9" s="68"/>
      <c r="D9" s="60"/>
      <c r="E9" s="69"/>
      <c r="F9" s="63"/>
      <c r="G9" s="64" t="s">
        <v>111</v>
      </c>
      <c r="H9" s="65"/>
      <c r="I9" s="65"/>
      <c r="J9" s="66"/>
    </row>
    <row r="10" spans="2:10" x14ac:dyDescent="0.3">
      <c r="C10" s="61" t="s">
        <v>103</v>
      </c>
      <c r="D10" s="61" t="s">
        <v>102</v>
      </c>
      <c r="E10" s="61" t="s">
        <v>104</v>
      </c>
      <c r="F10" s="61" t="s">
        <v>105</v>
      </c>
      <c r="G10" s="61" t="s">
        <v>106</v>
      </c>
      <c r="H10" s="61" t="s">
        <v>107</v>
      </c>
      <c r="I10" s="61" t="s">
        <v>108</v>
      </c>
      <c r="J10" s="61" t="s">
        <v>109</v>
      </c>
    </row>
    <row r="11" spans="2:10" x14ac:dyDescent="0.3">
      <c r="B11" t="s">
        <v>53</v>
      </c>
      <c r="C11" s="72">
        <f>3094*1.16</f>
        <v>3589.04</v>
      </c>
      <c r="D11" s="72">
        <f>2968*1.16</f>
        <v>3442.8799999999997</v>
      </c>
      <c r="E11" s="72">
        <f>2461*1.16</f>
        <v>2854.7599999999998</v>
      </c>
      <c r="F11" s="58">
        <f>E11*(1+F12)</f>
        <v>2806.2290799999996</v>
      </c>
      <c r="G11" s="58">
        <f t="shared" ref="G11:J11" si="0">F11*(1+G12)</f>
        <v>2820.2602253999994</v>
      </c>
      <c r="H11" s="58">
        <f t="shared" si="0"/>
        <v>2876.6654299079996</v>
      </c>
      <c r="I11" s="58">
        <f t="shared" si="0"/>
        <v>2957.2120619454236</v>
      </c>
      <c r="J11" s="58">
        <f t="shared" si="0"/>
        <v>3051.8428479276772</v>
      </c>
    </row>
    <row r="12" spans="2:10" x14ac:dyDescent="0.3">
      <c r="B12" s="75" t="s">
        <v>54</v>
      </c>
      <c r="C12" s="75"/>
      <c r="D12" s="75"/>
      <c r="E12" s="75"/>
      <c r="F12" s="99">
        <v>-1.7000000000000001E-2</v>
      </c>
      <c r="G12" s="99">
        <v>5.0000000000000001E-3</v>
      </c>
      <c r="H12" s="99">
        <v>0.02</v>
      </c>
      <c r="I12" s="99">
        <v>2.8000000000000001E-2</v>
      </c>
      <c r="J12" s="99">
        <v>3.2000000000000001E-2</v>
      </c>
    </row>
    <row r="15" spans="2:10" x14ac:dyDescent="0.3">
      <c r="B15" t="s">
        <v>55</v>
      </c>
      <c r="C15" s="72">
        <f>1001*1.16</f>
        <v>1161.1599999999999</v>
      </c>
      <c r="D15" s="72">
        <f>797*1.16</f>
        <v>924.52</v>
      </c>
      <c r="E15" s="72">
        <f>410*1.16</f>
        <v>475.59999999999997</v>
      </c>
      <c r="F15" s="58">
        <f>F11*F16</f>
        <v>448.99665279999994</v>
      </c>
      <c r="G15" s="58">
        <f t="shared" ref="G15:J15" si="1">G11*G16</f>
        <v>473.80371786719991</v>
      </c>
      <c r="H15" s="58">
        <f t="shared" si="1"/>
        <v>494.78645394417589</v>
      </c>
      <c r="I15" s="58">
        <f t="shared" si="1"/>
        <v>532.29817115017624</v>
      </c>
      <c r="J15" s="58">
        <f t="shared" si="1"/>
        <v>564.59092686662029</v>
      </c>
    </row>
    <row r="16" spans="2:10" x14ac:dyDescent="0.3">
      <c r="B16" s="75" t="s">
        <v>56</v>
      </c>
      <c r="C16" s="98">
        <f>C15/C11</f>
        <v>0.32352941176470584</v>
      </c>
      <c r="D16" s="98">
        <f>D15/D11</f>
        <v>0.26853099730458224</v>
      </c>
      <c r="E16" s="98">
        <f>E15/E11</f>
        <v>0.16659894351889476</v>
      </c>
      <c r="F16" s="99">
        <v>0.16</v>
      </c>
      <c r="G16" s="99">
        <v>0.16800000000000001</v>
      </c>
      <c r="H16" s="99">
        <v>0.17199999999999999</v>
      </c>
      <c r="I16" s="99">
        <v>0.18</v>
      </c>
      <c r="J16" s="99">
        <v>0.185</v>
      </c>
    </row>
    <row r="19" spans="2:10" x14ac:dyDescent="0.3">
      <c r="B19" t="s">
        <v>57</v>
      </c>
      <c r="C19" s="72">
        <f>657*1.16</f>
        <v>762.11999999999989</v>
      </c>
      <c r="D19" s="72">
        <f>418*1.16</f>
        <v>484.87999999999994</v>
      </c>
      <c r="E19" s="72">
        <f>-3*1.16</f>
        <v>-3.4799999999999995</v>
      </c>
      <c r="F19" s="58">
        <f>F15-F22</f>
        <v>68.568979675368382</v>
      </c>
      <c r="G19" s="58">
        <f t="shared" ref="G19:J19" si="2">G15-G22</f>
        <v>91.473906376945251</v>
      </c>
      <c r="H19" s="58">
        <f t="shared" si="2"/>
        <v>104.81004622411609</v>
      </c>
      <c r="I19" s="58">
        <f t="shared" si="2"/>
        <v>131.40242401395477</v>
      </c>
      <c r="J19" s="58">
        <f t="shared" si="2"/>
        <v>150.86651582203973</v>
      </c>
    </row>
    <row r="20" spans="2:10" x14ac:dyDescent="0.3">
      <c r="B20" s="75" t="s">
        <v>58</v>
      </c>
      <c r="C20" s="98">
        <f>C19/C11</f>
        <v>0.21234647705235937</v>
      </c>
      <c r="D20" s="98">
        <f t="shared" ref="D20" si="3">D19/D11</f>
        <v>0.14083557951482478</v>
      </c>
      <c r="E20" s="86"/>
      <c r="F20" s="99">
        <f>F19/F11</f>
        <v>2.443456243970232E-2</v>
      </c>
      <c r="G20" s="99">
        <f t="shared" ref="G20:J20" si="4">G19/G11</f>
        <v>3.243456243970233E-2</v>
      </c>
      <c r="H20" s="99">
        <f t="shared" si="4"/>
        <v>3.6434562439702306E-2</v>
      </c>
      <c r="I20" s="99">
        <f t="shared" si="4"/>
        <v>4.443456243970232E-2</v>
      </c>
      <c r="J20" s="99">
        <f t="shared" si="4"/>
        <v>4.9434562439702324E-2</v>
      </c>
    </row>
    <row r="21" spans="2:10" x14ac:dyDescent="0.3">
      <c r="C21" s="96"/>
      <c r="D21" s="96"/>
    </row>
    <row r="22" spans="2:10" x14ac:dyDescent="0.3">
      <c r="B22" t="s">
        <v>59</v>
      </c>
      <c r="C22" s="72">
        <f>344*1.16</f>
        <v>399.03999999999996</v>
      </c>
      <c r="D22" s="72">
        <f>379*1.16</f>
        <v>439.64</v>
      </c>
      <c r="E22" s="72">
        <f>413*1.16</f>
        <v>479.08</v>
      </c>
      <c r="F22" s="58">
        <f>F11*F23</f>
        <v>380.42767312463155</v>
      </c>
      <c r="G22" s="58">
        <f t="shared" ref="G22:J22" si="5">G11*G23</f>
        <v>382.32981149025466</v>
      </c>
      <c r="H22" s="58">
        <f t="shared" si="5"/>
        <v>389.9764077200598</v>
      </c>
      <c r="I22" s="58">
        <f t="shared" si="5"/>
        <v>400.89574713622147</v>
      </c>
      <c r="J22" s="58">
        <f t="shared" si="5"/>
        <v>413.72441104458056</v>
      </c>
    </row>
    <row r="23" spans="2:10" x14ac:dyDescent="0.3">
      <c r="B23" s="75" t="s">
        <v>60</v>
      </c>
      <c r="C23" s="98">
        <f>C22/C11</f>
        <v>0.11118293471234647</v>
      </c>
      <c r="D23" s="98">
        <f>D22/D11</f>
        <v>0.12769541778975743</v>
      </c>
      <c r="E23" s="98">
        <f>E22/E11</f>
        <v>0.16781796017878911</v>
      </c>
      <c r="F23" s="99">
        <f>AVERAGE($C$23:$E$23)</f>
        <v>0.13556543756029768</v>
      </c>
      <c r="G23" s="99">
        <f t="shared" ref="G23:J23" si="6">AVERAGE($C$23:$E$23)</f>
        <v>0.13556543756029768</v>
      </c>
      <c r="H23" s="99">
        <f t="shared" si="6"/>
        <v>0.13556543756029768</v>
      </c>
      <c r="I23" s="99">
        <f t="shared" si="6"/>
        <v>0.13556543756029768</v>
      </c>
      <c r="J23" s="99">
        <f t="shared" si="6"/>
        <v>0.13556543756029768</v>
      </c>
    </row>
    <row r="25" spans="2:10" ht="18.600000000000001" thickBot="1" x14ac:dyDescent="0.4">
      <c r="B25" s="67" t="s">
        <v>62</v>
      </c>
      <c r="C25" s="67"/>
      <c r="D25" s="67"/>
      <c r="E25" s="67"/>
      <c r="F25" s="67"/>
      <c r="G25" s="67"/>
      <c r="H25" s="67"/>
      <c r="I25" s="67"/>
      <c r="J25" s="67"/>
    </row>
    <row r="26" spans="2:10" x14ac:dyDescent="0.3">
      <c r="C26" s="68"/>
      <c r="D26" s="60"/>
      <c r="E26" s="69"/>
      <c r="F26" s="63"/>
      <c r="G26" s="64" t="s">
        <v>111</v>
      </c>
      <c r="H26" s="65"/>
      <c r="I26" s="65"/>
      <c r="J26" s="66"/>
    </row>
    <row r="27" spans="2:10" x14ac:dyDescent="0.3">
      <c r="C27" s="61" t="s">
        <v>103</v>
      </c>
      <c r="D27" s="61" t="s">
        <v>102</v>
      </c>
      <c r="E27" s="61" t="s">
        <v>104</v>
      </c>
      <c r="F27" s="61" t="s">
        <v>105</v>
      </c>
      <c r="G27" s="61" t="s">
        <v>106</v>
      </c>
      <c r="H27" s="61" t="s">
        <v>107</v>
      </c>
      <c r="I27" s="61" t="s">
        <v>108</v>
      </c>
      <c r="J27" s="61" t="s">
        <v>109</v>
      </c>
    </row>
    <row r="28" spans="2:10" x14ac:dyDescent="0.3">
      <c r="B28" t="s">
        <v>63</v>
      </c>
      <c r="C28" s="72">
        <f>1026*1.16</f>
        <v>1190.1599999999999</v>
      </c>
      <c r="D28" s="72">
        <f>441*1.16</f>
        <v>511.55999999999995</v>
      </c>
      <c r="E28" s="72">
        <f>813*1.16</f>
        <v>943.07999999999993</v>
      </c>
    </row>
    <row r="29" spans="2:10" x14ac:dyDescent="0.3">
      <c r="B29" t="s">
        <v>77</v>
      </c>
      <c r="C29" s="72">
        <f>307*1.16</f>
        <v>356.11999999999995</v>
      </c>
      <c r="D29" s="72">
        <f>340*1.16</f>
        <v>394.4</v>
      </c>
      <c r="E29" s="72">
        <f>309*1.16</f>
        <v>358.44</v>
      </c>
      <c r="F29" s="58">
        <f>F11*F41</f>
        <v>317.4203137562252</v>
      </c>
      <c r="G29" s="58">
        <f t="shared" ref="G29:J29" si="7">G11*G41</f>
        <v>319.00741532500632</v>
      </c>
      <c r="H29" s="58">
        <f t="shared" si="7"/>
        <v>325.38756363150645</v>
      </c>
      <c r="I29" s="58">
        <f t="shared" si="7"/>
        <v>334.49841541318864</v>
      </c>
      <c r="J29" s="58">
        <f t="shared" si="7"/>
        <v>345.20236470641066</v>
      </c>
    </row>
    <row r="30" spans="2:10" x14ac:dyDescent="0.3">
      <c r="B30" t="s">
        <v>64</v>
      </c>
      <c r="C30" s="72">
        <f>447*1.16</f>
        <v>518.52</v>
      </c>
      <c r="D30" s="72">
        <f>507*1.16</f>
        <v>588.12</v>
      </c>
      <c r="E30" s="72">
        <f>424*1.16</f>
        <v>491.84</v>
      </c>
      <c r="F30" s="58">
        <f>F11*F42</f>
        <v>456.08983105668091</v>
      </c>
      <c r="G30" s="58">
        <f t="shared" ref="G30:J30" si="8">G11*G42</f>
        <v>458.37028021196431</v>
      </c>
      <c r="H30" s="58">
        <f t="shared" si="8"/>
        <v>467.53768581620363</v>
      </c>
      <c r="I30" s="58">
        <f t="shared" si="8"/>
        <v>480.62874101905732</v>
      </c>
      <c r="J30" s="58">
        <f t="shared" si="8"/>
        <v>496.00886073166714</v>
      </c>
    </row>
    <row r="31" spans="2:10" x14ac:dyDescent="0.3">
      <c r="B31" t="s">
        <v>65</v>
      </c>
      <c r="C31" s="72"/>
      <c r="D31" s="72"/>
      <c r="E31" s="72"/>
    </row>
    <row r="33" spans="2:10" x14ac:dyDescent="0.3">
      <c r="B33" t="s">
        <v>66</v>
      </c>
      <c r="C33" s="72">
        <f>477*1.16</f>
        <v>553.31999999999994</v>
      </c>
      <c r="D33" s="72">
        <f>439*1.16</f>
        <v>509.23999999999995</v>
      </c>
      <c r="E33" s="72">
        <f>405*1.16</f>
        <v>469.79999999999995</v>
      </c>
      <c r="F33" s="58">
        <f>F11*F43</f>
        <v>436.50674486307435</v>
      </c>
      <c r="G33" s="58">
        <f t="shared" ref="G33:J33" si="9">G11*G43</f>
        <v>438.68927858738971</v>
      </c>
      <c r="H33" s="58">
        <f t="shared" si="9"/>
        <v>447.4630641591375</v>
      </c>
      <c r="I33" s="58">
        <f t="shared" si="9"/>
        <v>459.99202995559335</v>
      </c>
      <c r="J33" s="58">
        <f t="shared" si="9"/>
        <v>474.71177491417239</v>
      </c>
    </row>
    <row r="34" spans="2:10" x14ac:dyDescent="0.3">
      <c r="B34" t="s">
        <v>67</v>
      </c>
      <c r="C34" s="72"/>
      <c r="D34" s="72"/>
      <c r="E34" s="72"/>
    </row>
    <row r="36" spans="2:10" x14ac:dyDescent="0.3">
      <c r="B36" t="s">
        <v>68</v>
      </c>
      <c r="C36" s="72">
        <v>363</v>
      </c>
      <c r="D36" s="72">
        <v>378</v>
      </c>
      <c r="E36" s="72">
        <v>843</v>
      </c>
    </row>
    <row r="37" spans="2:10" x14ac:dyDescent="0.3">
      <c r="C37" s="72">
        <v>42</v>
      </c>
      <c r="D37" s="72">
        <v>66</v>
      </c>
      <c r="E37" s="72">
        <v>88</v>
      </c>
    </row>
    <row r="39" spans="2:10" x14ac:dyDescent="0.3">
      <c r="B39" t="s">
        <v>69</v>
      </c>
      <c r="C39" s="72">
        <f>1326*1.16</f>
        <v>1538.1599999999999</v>
      </c>
      <c r="D39" s="72">
        <f>1419*1.16</f>
        <v>1646.04</v>
      </c>
      <c r="E39" s="72">
        <f>1265*1.16</f>
        <v>1467.3999999999999</v>
      </c>
    </row>
    <row r="41" spans="2:10" x14ac:dyDescent="0.3">
      <c r="B41" t="s">
        <v>121</v>
      </c>
      <c r="C41" s="96">
        <f>C29/C11</f>
        <v>9.9224305106658028E-2</v>
      </c>
      <c r="D41" s="96">
        <f t="shared" ref="D41:E41" si="10">D29/D11</f>
        <v>0.11455525606469003</v>
      </c>
      <c r="E41" s="96">
        <f t="shared" si="10"/>
        <v>0.12555871596911825</v>
      </c>
      <c r="F41" s="95">
        <f>AVERAGE($C$41:$E$41)</f>
        <v>0.1131127590468221</v>
      </c>
      <c r="G41" s="95">
        <f t="shared" ref="G41:J41" si="11">AVERAGE($C$41:$E$41)</f>
        <v>0.1131127590468221</v>
      </c>
      <c r="H41" s="95">
        <f t="shared" si="11"/>
        <v>0.1131127590468221</v>
      </c>
      <c r="I41" s="95">
        <f t="shared" si="11"/>
        <v>0.1131127590468221</v>
      </c>
      <c r="J41" s="95">
        <f t="shared" si="11"/>
        <v>0.1131127590468221</v>
      </c>
    </row>
    <row r="42" spans="2:10" x14ac:dyDescent="0.3">
      <c r="B42" t="s">
        <v>120</v>
      </c>
      <c r="C42" s="96">
        <f>C30/C11</f>
        <v>0.14447317388493858</v>
      </c>
      <c r="D42" s="96">
        <f t="shared" ref="D42:E42" si="12">D30/D11</f>
        <v>0.17082210242587603</v>
      </c>
      <c r="E42" s="96">
        <f t="shared" si="12"/>
        <v>0.17228768793173507</v>
      </c>
      <c r="F42" s="95">
        <f>AVERAGE($C$42:$E$42)</f>
        <v>0.16252765474751654</v>
      </c>
      <c r="G42" s="95">
        <f t="shared" ref="G42:J42" si="13">AVERAGE($C$42:$E$42)</f>
        <v>0.16252765474751654</v>
      </c>
      <c r="H42" s="95">
        <f t="shared" si="13"/>
        <v>0.16252765474751654</v>
      </c>
      <c r="I42" s="95">
        <f t="shared" si="13"/>
        <v>0.16252765474751654</v>
      </c>
      <c r="J42" s="95">
        <f t="shared" si="13"/>
        <v>0.16252765474751654</v>
      </c>
    </row>
    <row r="43" spans="2:10" x14ac:dyDescent="0.3">
      <c r="B43" t="s">
        <v>119</v>
      </c>
      <c r="C43" s="96">
        <f>C33/C11</f>
        <v>0.15416936005171297</v>
      </c>
      <c r="D43" s="96">
        <f t="shared" ref="D43:E43" si="14">D33/D11</f>
        <v>0.14791105121293802</v>
      </c>
      <c r="E43" s="96">
        <f t="shared" si="14"/>
        <v>0.1645672490857375</v>
      </c>
      <c r="F43" s="95">
        <f>AVERAGE($C$43:$E$43)</f>
        <v>0.15554922011679617</v>
      </c>
      <c r="G43" s="95">
        <f t="shared" ref="G43:J43" si="15">AVERAGE($C$43:$E$43)</f>
        <v>0.15554922011679617</v>
      </c>
      <c r="H43" s="95">
        <f t="shared" si="15"/>
        <v>0.15554922011679617</v>
      </c>
      <c r="I43" s="95">
        <f t="shared" si="15"/>
        <v>0.15554922011679617</v>
      </c>
      <c r="J43" s="95">
        <f t="shared" si="15"/>
        <v>0.15554922011679617</v>
      </c>
    </row>
    <row r="44" spans="2:10" x14ac:dyDescent="0.3">
      <c r="B44" t="s">
        <v>122</v>
      </c>
      <c r="C44" s="96">
        <f>C81/C11</f>
        <v>-5.1066580478345183E-2</v>
      </c>
      <c r="D44" s="96">
        <f>D81/D11</f>
        <v>-4.1105121293800541E-2</v>
      </c>
      <c r="E44" s="96">
        <f>E81/E11</f>
        <v>-2.9256399837464447E-2</v>
      </c>
      <c r="F44" s="95">
        <f>AVERAGE($C$44:$E$44)</f>
        <v>-4.0476033869870059E-2</v>
      </c>
      <c r="G44" s="95">
        <f t="shared" ref="G44:J44" si="16">AVERAGE($C$44:$E$44)</f>
        <v>-4.0476033869870059E-2</v>
      </c>
      <c r="H44" s="95">
        <f t="shared" si="16"/>
        <v>-4.0476033869870059E-2</v>
      </c>
      <c r="I44" s="95">
        <f t="shared" si="16"/>
        <v>-4.0476033869870059E-2</v>
      </c>
      <c r="J44" s="95">
        <f t="shared" si="16"/>
        <v>-4.0476033869870059E-2</v>
      </c>
    </row>
    <row r="45" spans="2:10" x14ac:dyDescent="0.3">
      <c r="C45" s="96"/>
      <c r="D45" s="96"/>
      <c r="E45" s="96"/>
      <c r="F45" s="95"/>
      <c r="G45" s="95"/>
      <c r="H45" s="95"/>
      <c r="I45" s="95"/>
      <c r="J45" s="95"/>
    </row>
    <row r="46" spans="2:10" ht="18.600000000000001" thickBot="1" x14ac:dyDescent="0.4">
      <c r="B46" s="67" t="s">
        <v>82</v>
      </c>
      <c r="C46" s="67"/>
      <c r="D46" s="67"/>
      <c r="E46" s="67"/>
      <c r="F46" s="67"/>
      <c r="G46" s="67"/>
      <c r="H46" s="67"/>
      <c r="I46" s="67"/>
      <c r="J46" s="67"/>
    </row>
    <row r="47" spans="2:10" x14ac:dyDescent="0.3">
      <c r="B47" t="s">
        <v>83</v>
      </c>
      <c r="D47" s="58">
        <f>C5</f>
        <v>12.676799999999998</v>
      </c>
    </row>
    <row r="48" spans="2:10" x14ac:dyDescent="0.3">
      <c r="B48" t="s">
        <v>84</v>
      </c>
      <c r="D48">
        <v>358.21</v>
      </c>
    </row>
    <row r="49" spans="2:13" x14ac:dyDescent="0.3">
      <c r="B49" t="s">
        <v>85</v>
      </c>
      <c r="D49" s="78">
        <f>AVERAGE(C37:E37)/AVERAGE(C36:E36)</f>
        <v>0.12373737373737373</v>
      </c>
    </row>
    <row r="50" spans="2:13" x14ac:dyDescent="0.3">
      <c r="B50" t="s">
        <v>86</v>
      </c>
      <c r="D50" s="78">
        <v>0.25</v>
      </c>
    </row>
    <row r="51" spans="2:13" x14ac:dyDescent="0.3">
      <c r="B51" t="s">
        <v>87</v>
      </c>
      <c r="D51" s="13">
        <f>D49*(1-D50)</f>
        <v>9.2803030303030304E-2</v>
      </c>
    </row>
    <row r="52" spans="2:13" x14ac:dyDescent="0.3">
      <c r="B52" t="s">
        <v>117</v>
      </c>
      <c r="D52">
        <f>0.74*(1+(1-D50)*(D55/D56))</f>
        <v>0.80453265918602956</v>
      </c>
    </row>
    <row r="53" spans="2:13" x14ac:dyDescent="0.3">
      <c r="B53" t="s">
        <v>88</v>
      </c>
      <c r="D53" s="89">
        <f>(4.74+5*D52)</f>
        <v>8.7626632959301478</v>
      </c>
    </row>
    <row r="55" spans="2:13" x14ac:dyDescent="0.3">
      <c r="B55" t="s">
        <v>89</v>
      </c>
      <c r="D55" s="83">
        <f>AVERAGE(C36:E36)</f>
        <v>528</v>
      </c>
    </row>
    <row r="56" spans="2:13" x14ac:dyDescent="0.3">
      <c r="B56" t="s">
        <v>90</v>
      </c>
      <c r="D56" s="83">
        <f>D47*D48</f>
        <v>4540.9565279999988</v>
      </c>
    </row>
    <row r="57" spans="2:13" x14ac:dyDescent="0.3">
      <c r="B57" s="4" t="s">
        <v>91</v>
      </c>
      <c r="D57" s="84">
        <f>D55+D56</f>
        <v>5068.9565279999988</v>
      </c>
    </row>
    <row r="58" spans="2:13" x14ac:dyDescent="0.3">
      <c r="B58" t="s">
        <v>92</v>
      </c>
      <c r="D58" s="96">
        <f>D55/D57</f>
        <v>0.10416345002830928</v>
      </c>
    </row>
    <row r="59" spans="2:13" x14ac:dyDescent="0.3">
      <c r="B59" t="s">
        <v>93</v>
      </c>
      <c r="D59" s="96">
        <f>1-D58</f>
        <v>0.89583654997169071</v>
      </c>
      <c r="M59" s="4"/>
    </row>
    <row r="60" spans="2:13" x14ac:dyDescent="0.3">
      <c r="B60" s="4" t="s">
        <v>110</v>
      </c>
      <c r="D60" s="87">
        <f>((D59*D53)+(D58*D51))/100</f>
        <v>7.8595807393990733E-2</v>
      </c>
    </row>
    <row r="61" spans="2:13" ht="18.600000000000001" thickBot="1" x14ac:dyDescent="0.4">
      <c r="B61" s="67" t="s">
        <v>126</v>
      </c>
      <c r="C61" s="67"/>
      <c r="D61" s="67"/>
      <c r="E61" s="67"/>
      <c r="F61" s="67"/>
      <c r="G61" s="67"/>
      <c r="H61" s="67"/>
      <c r="I61" s="67"/>
      <c r="J61" s="67"/>
    </row>
    <row r="62" spans="2:13" x14ac:dyDescent="0.3">
      <c r="B62" s="59" t="s">
        <v>71</v>
      </c>
      <c r="F62" s="63"/>
      <c r="G62" s="64" t="s">
        <v>111</v>
      </c>
      <c r="H62" s="65"/>
      <c r="I62" s="65"/>
      <c r="J62" s="66"/>
    </row>
    <row r="63" spans="2:13" x14ac:dyDescent="0.3">
      <c r="C63" s="61" t="s">
        <v>103</v>
      </c>
      <c r="D63" s="61" t="s">
        <v>102</v>
      </c>
      <c r="E63" s="61" t="s">
        <v>104</v>
      </c>
      <c r="F63" s="61" t="s">
        <v>105</v>
      </c>
      <c r="G63" s="61" t="s">
        <v>106</v>
      </c>
      <c r="H63" s="61" t="s">
        <v>107</v>
      </c>
      <c r="I63" s="61" t="s">
        <v>108</v>
      </c>
      <c r="J63" s="61" t="s">
        <v>109</v>
      </c>
    </row>
    <row r="64" spans="2:13" x14ac:dyDescent="0.3">
      <c r="B64" t="s">
        <v>77</v>
      </c>
      <c r="C64" s="58">
        <f>C29</f>
        <v>356.11999999999995</v>
      </c>
      <c r="D64" s="58">
        <f t="shared" ref="D64:J64" si="17">D29</f>
        <v>394.4</v>
      </c>
      <c r="E64" s="58">
        <f t="shared" si="17"/>
        <v>358.44</v>
      </c>
      <c r="F64" s="58">
        <f t="shared" si="17"/>
        <v>317.4203137562252</v>
      </c>
      <c r="G64" s="58">
        <f t="shared" si="17"/>
        <v>319.00741532500632</v>
      </c>
      <c r="H64" s="58">
        <f t="shared" si="17"/>
        <v>325.38756363150645</v>
      </c>
      <c r="I64" s="58">
        <f t="shared" si="17"/>
        <v>334.49841541318864</v>
      </c>
      <c r="J64" s="58">
        <f t="shared" si="17"/>
        <v>345.20236470641066</v>
      </c>
    </row>
    <row r="65" spans="2:10" x14ac:dyDescent="0.3">
      <c r="B65" t="s">
        <v>64</v>
      </c>
      <c r="C65" s="58">
        <f>C30</f>
        <v>518.52</v>
      </c>
      <c r="D65" s="58">
        <f t="shared" ref="D65:J65" si="18">D30</f>
        <v>588.12</v>
      </c>
      <c r="E65" s="58">
        <f t="shared" si="18"/>
        <v>491.84</v>
      </c>
      <c r="F65" s="58">
        <f t="shared" si="18"/>
        <v>456.08983105668091</v>
      </c>
      <c r="G65" s="58">
        <f t="shared" si="18"/>
        <v>458.37028021196431</v>
      </c>
      <c r="H65" s="58">
        <f t="shared" si="18"/>
        <v>467.53768581620363</v>
      </c>
      <c r="I65" s="58">
        <f t="shared" si="18"/>
        <v>480.62874101905732</v>
      </c>
      <c r="J65" s="58">
        <f t="shared" si="18"/>
        <v>496.00886073166714</v>
      </c>
    </row>
    <row r="66" spans="2:10" x14ac:dyDescent="0.3">
      <c r="B66" t="s">
        <v>65</v>
      </c>
      <c r="C66" s="58"/>
      <c r="D66" s="58"/>
      <c r="E66" s="58"/>
      <c r="F66" s="58"/>
      <c r="G66" s="58"/>
      <c r="H66" s="58"/>
      <c r="I66" s="58"/>
      <c r="J66" s="58"/>
    </row>
    <row r="67" spans="2:10" x14ac:dyDescent="0.3">
      <c r="B67" t="s">
        <v>127</v>
      </c>
      <c r="C67" s="58">
        <f>-C33</f>
        <v>-553.31999999999994</v>
      </c>
      <c r="D67" s="58">
        <f t="shared" ref="D67:J67" si="19">-D33</f>
        <v>-509.23999999999995</v>
      </c>
      <c r="E67" s="58">
        <f t="shared" si="19"/>
        <v>-469.79999999999995</v>
      </c>
      <c r="F67" s="58">
        <f t="shared" si="19"/>
        <v>-436.50674486307435</v>
      </c>
      <c r="G67" s="58">
        <f t="shared" si="19"/>
        <v>-438.68927858738971</v>
      </c>
      <c r="H67" s="58">
        <f t="shared" si="19"/>
        <v>-447.4630641591375</v>
      </c>
      <c r="I67" s="58">
        <f t="shared" si="19"/>
        <v>-459.99202995559335</v>
      </c>
      <c r="J67" s="58">
        <f t="shared" si="19"/>
        <v>-474.71177491417239</v>
      </c>
    </row>
    <row r="68" spans="2:10" x14ac:dyDescent="0.3">
      <c r="B68" t="s">
        <v>128</v>
      </c>
      <c r="C68" s="58"/>
      <c r="D68" s="58"/>
      <c r="E68" s="58"/>
      <c r="F68" s="58"/>
      <c r="G68" s="58"/>
      <c r="H68" s="58"/>
      <c r="I68" s="58"/>
      <c r="J68" s="58"/>
    </row>
    <row r="69" spans="2:10" x14ac:dyDescent="0.3">
      <c r="B69" s="4" t="s">
        <v>126</v>
      </c>
      <c r="C69" s="92">
        <f>SUM(C64:C68)</f>
        <v>321.31999999999994</v>
      </c>
      <c r="D69" s="92">
        <f t="shared" ref="D69:J69" si="20">SUM(D64:D68)</f>
        <v>473.28000000000003</v>
      </c>
      <c r="E69" s="92">
        <f t="shared" si="20"/>
        <v>380.48</v>
      </c>
      <c r="F69" s="92">
        <f t="shared" si="20"/>
        <v>337.00339994983176</v>
      </c>
      <c r="G69" s="92">
        <f t="shared" si="20"/>
        <v>338.68841694958087</v>
      </c>
      <c r="H69" s="92">
        <f t="shared" si="20"/>
        <v>345.46218528857253</v>
      </c>
      <c r="I69" s="92">
        <f t="shared" si="20"/>
        <v>355.13512647665266</v>
      </c>
      <c r="J69" s="92">
        <f t="shared" si="20"/>
        <v>366.49945052390541</v>
      </c>
    </row>
    <row r="70" spans="2:10" ht="18.600000000000001" thickBot="1" x14ac:dyDescent="0.4">
      <c r="B70" s="67" t="s">
        <v>70</v>
      </c>
      <c r="C70" s="67"/>
      <c r="D70" s="67"/>
      <c r="E70" s="67"/>
      <c r="F70" s="67"/>
      <c r="G70" s="67"/>
      <c r="H70" s="67"/>
      <c r="I70" s="67"/>
      <c r="J70" s="67"/>
    </row>
    <row r="71" spans="2:10" x14ac:dyDescent="0.3">
      <c r="B71" s="59" t="s">
        <v>71</v>
      </c>
      <c r="C71" s="68"/>
      <c r="D71" s="60"/>
      <c r="E71" s="69"/>
      <c r="F71" s="63"/>
      <c r="G71" s="64" t="s">
        <v>111</v>
      </c>
      <c r="H71" s="65"/>
      <c r="I71" s="65"/>
      <c r="J71" s="66"/>
    </row>
    <row r="72" spans="2:10" x14ac:dyDescent="0.3">
      <c r="C72" s="61" t="s">
        <v>103</v>
      </c>
      <c r="D72" s="61" t="s">
        <v>102</v>
      </c>
      <c r="E72" s="61" t="s">
        <v>104</v>
      </c>
      <c r="F72" s="61" t="s">
        <v>105</v>
      </c>
      <c r="G72" s="61" t="s">
        <v>106</v>
      </c>
      <c r="H72" s="61" t="s">
        <v>107</v>
      </c>
      <c r="I72" s="61" t="s">
        <v>108</v>
      </c>
      <c r="J72" s="61" t="s">
        <v>109</v>
      </c>
    </row>
    <row r="73" spans="2:10" x14ac:dyDescent="0.3">
      <c r="B73" t="s">
        <v>72</v>
      </c>
      <c r="C73" s="62"/>
      <c r="D73" s="62"/>
      <c r="E73" s="62"/>
      <c r="F73" s="62">
        <v>1</v>
      </c>
      <c r="G73" s="62">
        <v>2</v>
      </c>
      <c r="H73" s="62">
        <v>3</v>
      </c>
      <c r="I73" s="62">
        <v>4</v>
      </c>
      <c r="J73" s="62">
        <v>5</v>
      </c>
    </row>
    <row r="74" spans="2:10" x14ac:dyDescent="0.3">
      <c r="B74" t="s">
        <v>73</v>
      </c>
      <c r="F74" s="58">
        <f>F11</f>
        <v>2806.2290799999996</v>
      </c>
      <c r="G74" s="58">
        <f>G11</f>
        <v>2820.2602253999994</v>
      </c>
      <c r="H74" s="58">
        <f>H11</f>
        <v>2876.6654299079996</v>
      </c>
      <c r="I74" s="58">
        <f>I11</f>
        <v>2957.2120619454236</v>
      </c>
      <c r="J74" s="58">
        <f>J11</f>
        <v>3051.8428479276772</v>
      </c>
    </row>
    <row r="75" spans="2:10" x14ac:dyDescent="0.3">
      <c r="B75" t="s">
        <v>55</v>
      </c>
      <c r="F75" s="58">
        <f>F15</f>
        <v>448.99665279999994</v>
      </c>
      <c r="G75" s="58">
        <f>G15</f>
        <v>473.80371786719991</v>
      </c>
      <c r="H75" s="58">
        <f>H15</f>
        <v>494.78645394417589</v>
      </c>
      <c r="I75" s="58">
        <f>I15</f>
        <v>532.29817115017624</v>
      </c>
      <c r="J75" s="58">
        <f>J15</f>
        <v>564.59092686662029</v>
      </c>
    </row>
    <row r="76" spans="2:10" x14ac:dyDescent="0.3">
      <c r="B76" t="s">
        <v>74</v>
      </c>
      <c r="F76" s="58">
        <f>F19</f>
        <v>68.568979675368382</v>
      </c>
      <c r="G76" s="58">
        <f>G19</f>
        <v>91.473906376945251</v>
      </c>
      <c r="H76" s="58">
        <f>H19</f>
        <v>104.81004622411609</v>
      </c>
      <c r="I76" s="58">
        <f>I19</f>
        <v>131.40242401395477</v>
      </c>
      <c r="J76" s="58">
        <f>J19</f>
        <v>150.86651582203973</v>
      </c>
    </row>
    <row r="77" spans="2:10" x14ac:dyDescent="0.3">
      <c r="B77" t="s">
        <v>75</v>
      </c>
      <c r="F77" s="79">
        <v>0.25</v>
      </c>
      <c r="G77" s="79">
        <v>0.25</v>
      </c>
      <c r="H77" s="79">
        <v>0.25</v>
      </c>
      <c r="I77" s="79">
        <v>0.25</v>
      </c>
      <c r="J77" s="79">
        <v>0.25</v>
      </c>
    </row>
    <row r="78" spans="2:10" x14ac:dyDescent="0.3">
      <c r="B78" s="4" t="s">
        <v>76</v>
      </c>
      <c r="F78" s="58">
        <f>F76*(1-F77)</f>
        <v>51.426734756526287</v>
      </c>
      <c r="G78" s="58">
        <f t="shared" ref="G78:J78" si="21">G76*(1-G77)</f>
        <v>68.605429782708939</v>
      </c>
      <c r="H78" s="58">
        <f t="shared" si="21"/>
        <v>78.607534668087069</v>
      </c>
      <c r="I78" s="58">
        <f t="shared" si="21"/>
        <v>98.551818010466079</v>
      </c>
      <c r="J78" s="58">
        <f t="shared" si="21"/>
        <v>113.1498868665298</v>
      </c>
    </row>
    <row r="79" spans="2:10" x14ac:dyDescent="0.3">
      <c r="B79" t="s">
        <v>59</v>
      </c>
      <c r="F79" s="58">
        <f>F22</f>
        <v>380.42767312463155</v>
      </c>
      <c r="G79" s="58">
        <f>G22</f>
        <v>382.32981149025466</v>
      </c>
      <c r="H79" s="58">
        <f>H22</f>
        <v>389.9764077200598</v>
      </c>
      <c r="I79" s="58">
        <f>I22</f>
        <v>400.89574713622147</v>
      </c>
      <c r="J79" s="58">
        <f>J22</f>
        <v>413.72441104458056</v>
      </c>
    </row>
    <row r="80" spans="2:10" x14ac:dyDescent="0.3">
      <c r="B80" t="s">
        <v>131</v>
      </c>
      <c r="F80" s="58">
        <f>-(F69-E69)</f>
        <v>43.476600050168258</v>
      </c>
      <c r="G80" s="58">
        <f t="shared" ref="G80:J80" si="22">-(G69-F69)</f>
        <v>-1.6850169997491093</v>
      </c>
      <c r="H80" s="58">
        <f t="shared" si="22"/>
        <v>-6.7737683389916583</v>
      </c>
      <c r="I80" s="58">
        <f t="shared" si="22"/>
        <v>-9.6729411880801308</v>
      </c>
      <c r="J80" s="58">
        <f t="shared" si="22"/>
        <v>-11.364324047252751</v>
      </c>
    </row>
    <row r="81" spans="2:10" x14ac:dyDescent="0.3">
      <c r="B81" t="s">
        <v>78</v>
      </c>
      <c r="C81" s="58">
        <f>(-158*1.16)</f>
        <v>-183.28</v>
      </c>
      <c r="D81" s="58">
        <f>-(122*1.16)</f>
        <v>-141.51999999999998</v>
      </c>
      <c r="E81" s="58">
        <f>-(72*1.16)</f>
        <v>-83.52</v>
      </c>
      <c r="F81" s="58">
        <f>(F11*F44)</f>
        <v>-113.58502328869429</v>
      </c>
      <c r="G81" s="58">
        <f>(G11*G44)</f>
        <v>-114.15294840513775</v>
      </c>
      <c r="H81" s="58">
        <f>(H11*H44)</f>
        <v>-116.43600737324051</v>
      </c>
      <c r="I81" s="58">
        <f>(I11*I44)</f>
        <v>-119.69621557969124</v>
      </c>
      <c r="J81" s="58">
        <f>(J11*J44)</f>
        <v>-123.52649447824136</v>
      </c>
    </row>
    <row r="82" spans="2:10" x14ac:dyDescent="0.3">
      <c r="B82" s="4" t="s">
        <v>79</v>
      </c>
      <c r="F82" s="92">
        <f>SUM(F78:F81)</f>
        <v>361.74598464263181</v>
      </c>
      <c r="G82" s="92">
        <f>SUM(G78:G81)</f>
        <v>335.09727586807674</v>
      </c>
      <c r="H82" s="92">
        <f>SUM(H78:H81)</f>
        <v>345.37416667591469</v>
      </c>
      <c r="I82" s="92">
        <f>SUM(I78:I81)</f>
        <v>370.07840837891621</v>
      </c>
      <c r="J82" s="92">
        <f>SUM(J78:J81)</f>
        <v>391.98347938561619</v>
      </c>
    </row>
    <row r="83" spans="2:10" x14ac:dyDescent="0.3">
      <c r="B83" t="s">
        <v>112</v>
      </c>
      <c r="F83" s="88">
        <f>$D$60</f>
        <v>7.8595807393990733E-2</v>
      </c>
      <c r="G83" s="88">
        <f t="shared" ref="G83:J83" si="23">$D$60</f>
        <v>7.8595807393990733E-2</v>
      </c>
      <c r="H83" s="88">
        <f t="shared" si="23"/>
        <v>7.8595807393990733E-2</v>
      </c>
      <c r="I83" s="88">
        <f t="shared" si="23"/>
        <v>7.8595807393990733E-2</v>
      </c>
      <c r="J83" s="88">
        <f t="shared" si="23"/>
        <v>7.8595807393990733E-2</v>
      </c>
    </row>
    <row r="84" spans="2:10" x14ac:dyDescent="0.3">
      <c r="B84" s="4" t="s">
        <v>80</v>
      </c>
      <c r="F84" s="91">
        <f>F82/(1+F83)^F73</f>
        <v>335.38604745428313</v>
      </c>
      <c r="G84" s="91">
        <f>G82/(1+G83)^G73</f>
        <v>288.04042409747007</v>
      </c>
      <c r="H84" s="91">
        <f>H82/(1+H83)^H73</f>
        <v>275.24134196363696</v>
      </c>
      <c r="I84" s="91">
        <f>I82/(1+I83)^I73</f>
        <v>273.43797956744993</v>
      </c>
      <c r="J84" s="91">
        <f>J82/(1+J83)^J73</f>
        <v>268.51844560860781</v>
      </c>
    </row>
    <row r="85" spans="2:10" x14ac:dyDescent="0.3">
      <c r="B85" s="4" t="s">
        <v>81</v>
      </c>
      <c r="C85" s="92">
        <f>SUM(F84:J84)</f>
        <v>1440.624238691448</v>
      </c>
    </row>
    <row r="86" spans="2:10" ht="18.600000000000001" thickBot="1" x14ac:dyDescent="0.4">
      <c r="B86" s="67" t="s">
        <v>94</v>
      </c>
      <c r="C86" s="67"/>
      <c r="D86" s="67"/>
      <c r="E86" s="67"/>
      <c r="F86" s="67"/>
      <c r="G86" s="67"/>
      <c r="H86" s="67"/>
      <c r="I86" s="67"/>
      <c r="J86" s="67"/>
    </row>
    <row r="87" spans="2:10" x14ac:dyDescent="0.3">
      <c r="B87" s="4" t="s">
        <v>95</v>
      </c>
    </row>
    <row r="88" spans="2:10" x14ac:dyDescent="0.3">
      <c r="B88" t="s">
        <v>96</v>
      </c>
      <c r="C88" s="78">
        <v>0.02</v>
      </c>
    </row>
    <row r="89" spans="2:10" x14ac:dyDescent="0.3">
      <c r="B89" t="s">
        <v>82</v>
      </c>
      <c r="C89" s="13">
        <f>D60</f>
        <v>7.8595807393990733E-2</v>
      </c>
    </row>
    <row r="90" spans="2:10" x14ac:dyDescent="0.3">
      <c r="B90" t="s">
        <v>97</v>
      </c>
      <c r="C90" s="58">
        <f>J82*(1+C88)</f>
        <v>399.8231489733285</v>
      </c>
    </row>
    <row r="91" spans="2:10" x14ac:dyDescent="0.3">
      <c r="B91" t="s">
        <v>94</v>
      </c>
      <c r="C91" s="58">
        <f>C90/(C89-C88)</f>
        <v>6823.4088197636511</v>
      </c>
    </row>
    <row r="92" spans="2:10" x14ac:dyDescent="0.3">
      <c r="B92" s="4" t="s">
        <v>118</v>
      </c>
      <c r="C92" s="92">
        <f>C91/((1+C89)^J73)</f>
        <v>4674.2049764616522</v>
      </c>
    </row>
    <row r="93" spans="2:10" ht="18.600000000000001" thickBot="1" x14ac:dyDescent="0.4">
      <c r="B93" s="67" t="s">
        <v>98</v>
      </c>
      <c r="C93" s="67"/>
      <c r="D93" s="67"/>
      <c r="E93" s="67"/>
      <c r="F93" s="67"/>
      <c r="G93" s="67"/>
      <c r="H93" s="67"/>
      <c r="I93" s="67"/>
      <c r="J93" s="67"/>
    </row>
    <row r="94" spans="2:10" x14ac:dyDescent="0.3">
      <c r="B94" t="s">
        <v>99</v>
      </c>
      <c r="C94" s="58">
        <f>C92+C85</f>
        <v>6114.8292151531004</v>
      </c>
    </row>
    <row r="95" spans="2:10" x14ac:dyDescent="0.3">
      <c r="B95" t="s">
        <v>100</v>
      </c>
      <c r="C95" s="58">
        <f>E36-E28</f>
        <v>-100.07999999999993</v>
      </c>
    </row>
    <row r="96" spans="2:10" x14ac:dyDescent="0.3">
      <c r="B96" s="4" t="s">
        <v>101</v>
      </c>
      <c r="C96" s="92">
        <f>C94-C95</f>
        <v>6214.9092151531004</v>
      </c>
    </row>
    <row r="97" spans="2:3" x14ac:dyDescent="0.3">
      <c r="B97" t="s">
        <v>84</v>
      </c>
      <c r="C97">
        <f>D48</f>
        <v>358.21</v>
      </c>
    </row>
    <row r="98" spans="2:3" x14ac:dyDescent="0.3">
      <c r="B98" s="77" t="s">
        <v>113</v>
      </c>
      <c r="C98" s="93">
        <f>C96/C97</f>
        <v>17.349904288414898</v>
      </c>
    </row>
  </sheetData>
  <pageMargins left="0.7" right="0.7" top="0.75" bottom="0.75" header="0.3" footer="0.3"/>
  <pageSetup paperSize="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FCCCC-DB07-432F-A45F-1859668DD83B}">
  <dimension ref="B2:J108"/>
  <sheetViews>
    <sheetView topLeftCell="A85" workbookViewId="0">
      <selection activeCell="M108" sqref="M108"/>
    </sheetView>
  </sheetViews>
  <sheetFormatPr defaultRowHeight="14.4" x14ac:dyDescent="0.3"/>
  <cols>
    <col min="2" max="2" width="37.5546875" bestFit="1" customWidth="1"/>
    <col min="3" max="3" width="9" bestFit="1" customWidth="1"/>
    <col min="4" max="5" width="8" bestFit="1" customWidth="1"/>
    <col min="6" max="10" width="8.77734375" bestFit="1" customWidth="1"/>
  </cols>
  <sheetData>
    <row r="2" spans="2:10" ht="28.8" x14ac:dyDescent="0.55000000000000004">
      <c r="B2" s="1" t="s">
        <v>217</v>
      </c>
    </row>
    <row r="4" spans="2:10" x14ac:dyDescent="0.3">
      <c r="B4" t="s">
        <v>49</v>
      </c>
      <c r="C4" s="71" t="s">
        <v>50</v>
      </c>
    </row>
    <row r="5" spans="2:10" x14ac:dyDescent="0.3">
      <c r="B5" t="s">
        <v>51</v>
      </c>
      <c r="C5" s="72">
        <f>1.4*1.14</f>
        <v>1.5959999999999999</v>
      </c>
    </row>
    <row r="6" spans="2:10" x14ac:dyDescent="0.3">
      <c r="B6" t="s">
        <v>115</v>
      </c>
      <c r="C6" s="73">
        <v>70.16</v>
      </c>
    </row>
    <row r="8" spans="2:10" ht="18.600000000000001" thickBot="1" x14ac:dyDescent="0.4">
      <c r="B8" s="67" t="s">
        <v>61</v>
      </c>
      <c r="C8" s="70"/>
      <c r="D8" s="70"/>
      <c r="E8" s="70"/>
      <c r="F8" s="70"/>
      <c r="G8" s="70"/>
      <c r="H8" s="70"/>
      <c r="I8" s="70"/>
      <c r="J8" s="70"/>
    </row>
    <row r="9" spans="2:10" x14ac:dyDescent="0.3">
      <c r="C9" s="68"/>
      <c r="D9" s="60"/>
      <c r="E9" s="69"/>
      <c r="F9" s="63"/>
      <c r="G9" s="64" t="s">
        <v>111</v>
      </c>
      <c r="H9" s="65"/>
      <c r="I9" s="65"/>
      <c r="J9" s="66"/>
    </row>
    <row r="10" spans="2:10" x14ac:dyDescent="0.3">
      <c r="C10" s="61" t="s">
        <v>103</v>
      </c>
      <c r="D10" s="61" t="s">
        <v>102</v>
      </c>
      <c r="E10" s="61" t="s">
        <v>104</v>
      </c>
      <c r="F10" s="61" t="s">
        <v>105</v>
      </c>
      <c r="G10" s="61" t="s">
        <v>106</v>
      </c>
      <c r="H10" s="61" t="s">
        <v>107</v>
      </c>
      <c r="I10" s="61" t="s">
        <v>108</v>
      </c>
      <c r="J10" s="61" t="s">
        <v>109</v>
      </c>
    </row>
    <row r="11" spans="2:10" x14ac:dyDescent="0.3">
      <c r="B11" t="s">
        <v>53</v>
      </c>
      <c r="C11" s="72">
        <v>184.6</v>
      </c>
      <c r="D11" s="72">
        <v>177.3</v>
      </c>
      <c r="E11" s="72">
        <v>120.4</v>
      </c>
      <c r="F11" s="58">
        <f>E11*(1+F12)</f>
        <v>123.41</v>
      </c>
      <c r="G11" s="58">
        <f t="shared" ref="G11:J11" si="0">F11*(1+G12)</f>
        <v>126.49524999999998</v>
      </c>
      <c r="H11" s="58">
        <f t="shared" si="0"/>
        <v>129.65763124999998</v>
      </c>
      <c r="I11" s="58">
        <f t="shared" si="0"/>
        <v>132.89907203124997</v>
      </c>
      <c r="J11" s="58">
        <f t="shared" si="0"/>
        <v>136.2215488320312</v>
      </c>
    </row>
    <row r="12" spans="2:10" x14ac:dyDescent="0.3">
      <c r="B12" s="75" t="s">
        <v>54</v>
      </c>
      <c r="C12" s="75"/>
      <c r="D12" s="75"/>
      <c r="E12" s="75"/>
      <c r="F12" s="99">
        <v>2.5000000000000001E-2</v>
      </c>
      <c r="G12" s="99">
        <v>2.5000000000000001E-2</v>
      </c>
      <c r="H12" s="99">
        <v>2.5000000000000001E-2</v>
      </c>
      <c r="I12" s="99">
        <v>2.5000000000000001E-2</v>
      </c>
      <c r="J12" s="99">
        <v>2.5000000000000001E-2</v>
      </c>
    </row>
    <row r="15" spans="2:10" x14ac:dyDescent="0.3">
      <c r="B15" t="s">
        <v>55</v>
      </c>
      <c r="C15" s="72">
        <f>11.88*1.16</f>
        <v>13.780799999999999</v>
      </c>
      <c r="D15" s="72">
        <f>-14.33*1.16</f>
        <v>-16.622799999999998</v>
      </c>
      <c r="E15" s="72">
        <f>-22.06*1.16</f>
        <v>-25.589599999999997</v>
      </c>
      <c r="F15" s="58">
        <f>F11*F16</f>
        <v>4.31935</v>
      </c>
      <c r="G15" s="58">
        <f t="shared" ref="G15:J15" si="1">G11*G16</f>
        <v>5.0598099999999997</v>
      </c>
      <c r="H15" s="58">
        <f t="shared" si="1"/>
        <v>5.8345934062499989</v>
      </c>
      <c r="I15" s="58">
        <f t="shared" si="1"/>
        <v>6.6449536015624986</v>
      </c>
      <c r="J15" s="58">
        <f t="shared" si="1"/>
        <v>8.1732929299218711</v>
      </c>
    </row>
    <row r="16" spans="2:10" x14ac:dyDescent="0.3">
      <c r="B16" s="75" t="s">
        <v>56</v>
      </c>
      <c r="C16" s="88">
        <f>C15/C11</f>
        <v>7.4652221018418202E-2</v>
      </c>
      <c r="D16" s="88">
        <f t="shared" ref="D16:E16" si="2">D15/D11</f>
        <v>-9.3755217146080067E-2</v>
      </c>
      <c r="E16" s="88">
        <f t="shared" si="2"/>
        <v>-0.21253820598006642</v>
      </c>
      <c r="F16" s="99">
        <v>3.5000000000000003E-2</v>
      </c>
      <c r="G16" s="99">
        <v>0.04</v>
      </c>
      <c r="H16" s="99">
        <v>4.4999999999999998E-2</v>
      </c>
      <c r="I16" s="99">
        <v>0.05</v>
      </c>
      <c r="J16" s="99">
        <v>0.06</v>
      </c>
    </row>
    <row r="19" spans="2:10" x14ac:dyDescent="0.3">
      <c r="B19" t="s">
        <v>57</v>
      </c>
      <c r="C19" s="72">
        <f>5.18*1.16</f>
        <v>6.008799999999999</v>
      </c>
      <c r="D19" s="72">
        <f>-19.28*1.16</f>
        <v>-22.364799999999999</v>
      </c>
      <c r="E19" s="72">
        <f>-26.3*1.16</f>
        <v>-30.507999999999999</v>
      </c>
      <c r="F19" s="58">
        <f>F15-F22</f>
        <v>-10.442686438356212</v>
      </c>
      <c r="G19" s="58">
        <f t="shared" ref="G19:J19" si="3">G15-G22</f>
        <v>-11.162996846477025</v>
      </c>
      <c r="H19" s="58">
        <f t="shared" si="3"/>
        <v>-11.993533700541471</v>
      </c>
      <c r="I19" s="58">
        <f t="shared" si="3"/>
        <v>-12.947347480721302</v>
      </c>
      <c r="J19" s="58">
        <f t="shared" si="3"/>
        <v>-13.357755138084748</v>
      </c>
    </row>
    <row r="20" spans="2:10" x14ac:dyDescent="0.3">
      <c r="B20" s="75" t="s">
        <v>58</v>
      </c>
      <c r="C20" s="88">
        <f>C19/C11</f>
        <v>3.2550379198266519E-2</v>
      </c>
      <c r="D20" s="88">
        <f t="shared" ref="D20:J20" si="4">D19/D11</f>
        <v>-0.12614100394811054</v>
      </c>
      <c r="E20" s="88">
        <f t="shared" si="4"/>
        <v>-0.25338870431893684</v>
      </c>
      <c r="F20" s="99">
        <f t="shared" si="4"/>
        <v>-8.4617830308372194E-2</v>
      </c>
      <c r="G20" s="99">
        <f t="shared" si="4"/>
        <v>-8.8248348032649651E-2</v>
      </c>
      <c r="H20" s="99">
        <f t="shared" si="4"/>
        <v>-9.2501564195755531E-2</v>
      </c>
      <c r="I20" s="99">
        <f t="shared" si="4"/>
        <v>-9.7422406965165673E-2</v>
      </c>
      <c r="J20" s="99">
        <f t="shared" si="4"/>
        <v>-9.8059046109919126E-2</v>
      </c>
    </row>
    <row r="22" spans="2:10" x14ac:dyDescent="0.3">
      <c r="B22" t="s">
        <v>59</v>
      </c>
      <c r="C22" s="72">
        <f>14.63*1.16</f>
        <v>16.970800000000001</v>
      </c>
      <c r="D22" s="72">
        <f>14.27*1.16</f>
        <v>16.553199999999997</v>
      </c>
      <c r="E22" s="72">
        <f>11.58*1.16</f>
        <v>13.432799999999999</v>
      </c>
      <c r="F22" s="58">
        <f>E22*(1+F23)</f>
        <v>14.762036438356212</v>
      </c>
      <c r="G22" s="58">
        <f t="shared" ref="G22:J22" si="5">F22*(1+G23)</f>
        <v>16.222806846477024</v>
      </c>
      <c r="H22" s="58">
        <f t="shared" si="5"/>
        <v>17.82812710679147</v>
      </c>
      <c r="I22" s="58">
        <f t="shared" si="5"/>
        <v>19.5923010822838</v>
      </c>
      <c r="J22" s="58">
        <f t="shared" si="5"/>
        <v>21.531048068006619</v>
      </c>
    </row>
    <row r="23" spans="2:10" x14ac:dyDescent="0.3">
      <c r="B23" s="75" t="s">
        <v>60</v>
      </c>
      <c r="C23" s="88">
        <f>C22/C11</f>
        <v>9.1932827735644637E-2</v>
      </c>
      <c r="D23" s="88">
        <f t="shared" ref="D23:E23" si="6">D22/D11</f>
        <v>9.3362662154540296E-2</v>
      </c>
      <c r="E23" s="88">
        <f t="shared" si="6"/>
        <v>0.11156810631229234</v>
      </c>
      <c r="F23" s="99">
        <f>AVERAGE($C$23:$E$23)</f>
        <v>9.8954532067492426E-2</v>
      </c>
      <c r="G23" s="99">
        <f t="shared" ref="G23:J23" si="7">AVERAGE($C$23:$E$23)</f>
        <v>9.8954532067492426E-2</v>
      </c>
      <c r="H23" s="99">
        <f t="shared" si="7"/>
        <v>9.8954532067492426E-2</v>
      </c>
      <c r="I23" s="99">
        <f t="shared" si="7"/>
        <v>9.8954532067492426E-2</v>
      </c>
      <c r="J23" s="99">
        <f t="shared" si="7"/>
        <v>9.8954532067492426E-2</v>
      </c>
    </row>
    <row r="24" spans="2:10" ht="18.600000000000001" thickBot="1" x14ac:dyDescent="0.4">
      <c r="B24" s="67" t="s">
        <v>62</v>
      </c>
      <c r="C24" s="67"/>
      <c r="D24" s="67"/>
      <c r="E24" s="67"/>
      <c r="F24" s="67"/>
      <c r="G24" s="67"/>
      <c r="H24" s="67"/>
      <c r="I24" s="67"/>
      <c r="J24" s="67"/>
    </row>
    <row r="25" spans="2:10" x14ac:dyDescent="0.3">
      <c r="C25" s="68"/>
      <c r="D25" s="60"/>
      <c r="E25" s="69"/>
      <c r="F25" s="63"/>
      <c r="G25" s="64" t="s">
        <v>111</v>
      </c>
      <c r="H25" s="65"/>
      <c r="I25" s="65"/>
      <c r="J25" s="66"/>
    </row>
    <row r="26" spans="2:10" x14ac:dyDescent="0.3">
      <c r="C26" s="61" t="s">
        <v>103</v>
      </c>
      <c r="D26" s="61" t="s">
        <v>102</v>
      </c>
      <c r="E26" s="61" t="s">
        <v>104</v>
      </c>
      <c r="F26" s="61" t="s">
        <v>105</v>
      </c>
      <c r="G26" s="61" t="s">
        <v>106</v>
      </c>
      <c r="H26" s="61" t="s">
        <v>107</v>
      </c>
      <c r="I26" s="61" t="s">
        <v>108</v>
      </c>
      <c r="J26" s="61" t="s">
        <v>109</v>
      </c>
    </row>
    <row r="27" spans="2:10" x14ac:dyDescent="0.3">
      <c r="B27" t="s">
        <v>63</v>
      </c>
      <c r="C27" s="72">
        <f>6.87*1.16</f>
        <v>7.9691999999999998</v>
      </c>
      <c r="D27" s="72">
        <f>7.14*1.16</f>
        <v>8.2823999999999991</v>
      </c>
      <c r="E27" s="72">
        <f>8.2*1.16</f>
        <v>9.5119999999999987</v>
      </c>
    </row>
    <row r="28" spans="2:10" x14ac:dyDescent="0.3">
      <c r="B28" t="s">
        <v>77</v>
      </c>
      <c r="C28" s="72">
        <f>7.39*1.16</f>
        <v>8.5723999999999982</v>
      </c>
      <c r="D28" s="72">
        <f>4.72*1.16</f>
        <v>5.4751999999999992</v>
      </c>
      <c r="E28" s="72">
        <f>3.15*1.16</f>
        <v>3.6539999999999995</v>
      </c>
      <c r="F28" s="58">
        <f>F11*F40</f>
        <v>4.4290834166259785</v>
      </c>
      <c r="G28" s="58">
        <f>G11*G40</f>
        <v>4.5398105020416279</v>
      </c>
      <c r="H28" s="58">
        <f>H11*H40</f>
        <v>4.6533057645926679</v>
      </c>
      <c r="I28" s="58">
        <f>I11*I40</f>
        <v>4.7696384087074843</v>
      </c>
      <c r="J28" s="58">
        <f>J11*J40</f>
        <v>4.8888793689251706</v>
      </c>
    </row>
    <row r="29" spans="2:10" x14ac:dyDescent="0.3">
      <c r="B29" t="s">
        <v>64</v>
      </c>
      <c r="C29" s="72">
        <f>48.25*1.16</f>
        <v>55.97</v>
      </c>
      <c r="D29" s="72">
        <f>33.16*1.16</f>
        <v>38.465599999999995</v>
      </c>
      <c r="E29" s="72">
        <f>18.22*1.16</f>
        <v>21.135199999999998</v>
      </c>
      <c r="F29" s="58">
        <f>F41*F11</f>
        <v>28.618354739942681</v>
      </c>
      <c r="G29" s="58">
        <f>G41*G11</f>
        <v>29.333813608441247</v>
      </c>
      <c r="H29" s="58">
        <f>H41*H11</f>
        <v>30.067158948652278</v>
      </c>
      <c r="I29" s="58">
        <f>I41*I11</f>
        <v>30.818837922368584</v>
      </c>
      <c r="J29" s="58">
        <f>J41*J11</f>
        <v>31.589308870427793</v>
      </c>
    </row>
    <row r="30" spans="2:10" x14ac:dyDescent="0.3">
      <c r="B30" t="s">
        <v>65</v>
      </c>
      <c r="C30" s="72">
        <f>7.08*1.16</f>
        <v>8.2127999999999997</v>
      </c>
      <c r="D30" s="72">
        <f>7.3*1.16</f>
        <v>8.468</v>
      </c>
      <c r="E30" s="72">
        <f>6.19*1.16</f>
        <v>7.1803999999999997</v>
      </c>
      <c r="F30" s="58">
        <f>F42*F11</f>
        <v>6.2481840664846091</v>
      </c>
      <c r="G30" s="58">
        <f>G42*G11</f>
        <v>6.4043886681467237</v>
      </c>
      <c r="H30" s="58">
        <f>H42*H11</f>
        <v>6.5644983848503911</v>
      </c>
      <c r="I30" s="58">
        <f>I42*I11</f>
        <v>6.7286108444716506</v>
      </c>
      <c r="J30" s="58">
        <f>J42*J11</f>
        <v>6.8968261155834414</v>
      </c>
    </row>
    <row r="31" spans="2:10" x14ac:dyDescent="0.3">
      <c r="F31" s="58"/>
      <c r="G31" s="58"/>
      <c r="H31" s="58"/>
      <c r="I31" s="58"/>
      <c r="J31" s="58"/>
    </row>
    <row r="32" spans="2:10" x14ac:dyDescent="0.3">
      <c r="B32" t="s">
        <v>66</v>
      </c>
      <c r="C32" s="72">
        <f>14.45*1.16</f>
        <v>16.761999999999997</v>
      </c>
      <c r="D32" s="72">
        <f>9.93*1.16</f>
        <v>11.518799999999999</v>
      </c>
      <c r="E32" s="72">
        <f>10.34*1.16</f>
        <v>11.994399999999999</v>
      </c>
      <c r="F32" s="58">
        <f>F43*F11</f>
        <v>10.505928144241386</v>
      </c>
      <c r="G32" s="58">
        <f>G43*G11</f>
        <v>10.768576347847418</v>
      </c>
      <c r="H32" s="58">
        <f>H43*H11</f>
        <v>11.037790756543604</v>
      </c>
      <c r="I32" s="58">
        <f>I43*I11</f>
        <v>11.313735525457194</v>
      </c>
      <c r="J32" s="58">
        <f>J43*J11</f>
        <v>11.596578913593621</v>
      </c>
    </row>
    <row r="33" spans="2:10" x14ac:dyDescent="0.3">
      <c r="B33" t="s">
        <v>67</v>
      </c>
      <c r="C33" s="72">
        <f>12.93*1.16</f>
        <v>14.998799999999999</v>
      </c>
      <c r="D33" s="72">
        <f>12.49*0.16</f>
        <v>1.9984000000000002</v>
      </c>
      <c r="E33" s="72">
        <f>13.45*1.16</f>
        <v>15.601999999999999</v>
      </c>
      <c r="F33" s="58">
        <f>F44*F11</f>
        <v>9.1367120074032915</v>
      </c>
      <c r="G33" s="58">
        <f>G44*G11</f>
        <v>9.3651298075883727</v>
      </c>
      <c r="H33" s="58">
        <f>H44*H11</f>
        <v>9.5992580527780813</v>
      </c>
      <c r="I33" s="58">
        <f>I44*I11</f>
        <v>9.8392395040975327</v>
      </c>
      <c r="J33" s="58">
        <f>J44*J11</f>
        <v>10.085220491699969</v>
      </c>
    </row>
    <row r="35" spans="2:10" x14ac:dyDescent="0.3">
      <c r="B35" t="s">
        <v>68</v>
      </c>
      <c r="C35" s="72">
        <f>35.7*1.16</f>
        <v>41.411999999999999</v>
      </c>
      <c r="D35" s="72">
        <f>30.56*1.16</f>
        <v>35.449599999999997</v>
      </c>
      <c r="E35" s="72">
        <f>30.81*1.16</f>
        <v>35.739599999999996</v>
      </c>
    </row>
    <row r="36" spans="2:10" x14ac:dyDescent="0.3">
      <c r="C36" s="72">
        <f>3.89*1.16</f>
        <v>4.5123999999999995</v>
      </c>
      <c r="D36" s="72">
        <f>5.02*1.16</f>
        <v>5.823199999999999</v>
      </c>
      <c r="E36" s="72">
        <f>5*1.16</f>
        <v>5.8</v>
      </c>
    </row>
    <row r="38" spans="2:10" x14ac:dyDescent="0.3">
      <c r="B38" t="s">
        <v>69</v>
      </c>
      <c r="C38" s="72">
        <f>77.34*1.16</f>
        <v>89.714399999999998</v>
      </c>
      <c r="D38" s="72">
        <f>53.06*1.16</f>
        <v>61.549599999999998</v>
      </c>
      <c r="E38" s="72">
        <f>41.44*1.16</f>
        <v>48.070399999999992</v>
      </c>
    </row>
    <row r="40" spans="2:10" x14ac:dyDescent="0.3">
      <c r="B40" t="s">
        <v>121</v>
      </c>
      <c r="C40" s="96">
        <f>C28/C11</f>
        <v>4.6437703141928487E-2</v>
      </c>
      <c r="D40" s="96">
        <f>D28/D11</f>
        <v>3.0880992667794691E-2</v>
      </c>
      <c r="E40" s="96">
        <f>E28/E11</f>
        <v>3.0348837209302319E-2</v>
      </c>
      <c r="F40" s="95">
        <f>AVERAGE($C$40:$E$40)</f>
        <v>3.5889177673008497E-2</v>
      </c>
      <c r="G40" s="95">
        <f t="shared" ref="G40:J40" si="8">AVERAGE($C$40:$E$40)</f>
        <v>3.5889177673008497E-2</v>
      </c>
      <c r="H40" s="95">
        <f t="shared" si="8"/>
        <v>3.5889177673008497E-2</v>
      </c>
      <c r="I40" s="95">
        <f t="shared" si="8"/>
        <v>3.5889177673008497E-2</v>
      </c>
      <c r="J40" s="95">
        <f t="shared" si="8"/>
        <v>3.5889177673008497E-2</v>
      </c>
    </row>
    <row r="41" spans="2:10" x14ac:dyDescent="0.3">
      <c r="B41" t="s">
        <v>123</v>
      </c>
      <c r="C41" s="96">
        <f>C29/C11</f>
        <v>0.30319609967497291</v>
      </c>
      <c r="D41" s="96">
        <f>D29/D11</f>
        <v>0.21695205865764236</v>
      </c>
      <c r="E41" s="96">
        <f>E29/E11</f>
        <v>0.17554152823920263</v>
      </c>
      <c r="F41" s="95">
        <f>AVERAGE($C$41:$E$41)</f>
        <v>0.23189656219060598</v>
      </c>
      <c r="G41" s="95">
        <f t="shared" ref="G41:J41" si="9">AVERAGE($C$41:$E$41)</f>
        <v>0.23189656219060598</v>
      </c>
      <c r="H41" s="95">
        <f t="shared" si="9"/>
        <v>0.23189656219060598</v>
      </c>
      <c r="I41" s="95">
        <f t="shared" si="9"/>
        <v>0.23189656219060598</v>
      </c>
      <c r="J41" s="95">
        <f t="shared" si="9"/>
        <v>0.23189656219060598</v>
      </c>
    </row>
    <row r="42" spans="2:10" x14ac:dyDescent="0.3">
      <c r="B42" t="s">
        <v>124</v>
      </c>
      <c r="C42" s="96">
        <f>C30/C11</f>
        <v>4.4489707475622968E-2</v>
      </c>
      <c r="D42" s="96">
        <f>D30/D11</f>
        <v>4.7760857304004506E-2</v>
      </c>
      <c r="E42" s="96">
        <f>E30/E11</f>
        <v>5.9637873754152818E-2</v>
      </c>
      <c r="F42" s="95">
        <f>AVERAGE($C$42:$E$42)</f>
        <v>5.0629479511260102E-2</v>
      </c>
      <c r="G42" s="95">
        <f t="shared" ref="G42:J42" si="10">AVERAGE($C$42:$E$42)</f>
        <v>5.0629479511260102E-2</v>
      </c>
      <c r="H42" s="95">
        <f t="shared" si="10"/>
        <v>5.0629479511260102E-2</v>
      </c>
      <c r="I42" s="95">
        <f t="shared" si="10"/>
        <v>5.0629479511260102E-2</v>
      </c>
      <c r="J42" s="95">
        <f t="shared" si="10"/>
        <v>5.0629479511260102E-2</v>
      </c>
    </row>
    <row r="43" spans="2:10" x14ac:dyDescent="0.3">
      <c r="B43" t="s">
        <v>119</v>
      </c>
      <c r="C43" s="96">
        <f>C32/C11</f>
        <v>9.0801733477789803E-2</v>
      </c>
      <c r="D43" s="96">
        <f>D32/D11</f>
        <v>6.496785109983079E-2</v>
      </c>
      <c r="E43" s="96">
        <f>E32/E11</f>
        <v>9.9621262458471749E-2</v>
      </c>
      <c r="F43" s="95">
        <f>AVERAGE($C$43:$E$43)</f>
        <v>8.5130282345364114E-2</v>
      </c>
      <c r="G43" s="95">
        <f t="shared" ref="G43:J43" si="11">AVERAGE($C$43:$E$43)</f>
        <v>8.5130282345364114E-2</v>
      </c>
      <c r="H43" s="95">
        <f t="shared" si="11"/>
        <v>8.5130282345364114E-2</v>
      </c>
      <c r="I43" s="95">
        <f t="shared" si="11"/>
        <v>8.5130282345364114E-2</v>
      </c>
      <c r="J43" s="95">
        <f t="shared" si="11"/>
        <v>8.5130282345364114E-2</v>
      </c>
    </row>
    <row r="44" spans="2:10" x14ac:dyDescent="0.3">
      <c r="B44" t="s">
        <v>125</v>
      </c>
      <c r="C44" s="96">
        <f>C33/C11</f>
        <v>8.1250270855904652E-2</v>
      </c>
      <c r="D44" s="96">
        <f>D33/D11</f>
        <v>1.1271291596164693E-2</v>
      </c>
      <c r="E44" s="96">
        <f>E33/E11</f>
        <v>0.12958471760797341</v>
      </c>
      <c r="F44" s="95">
        <f>AVERAGE($C$44:$E$44)</f>
        <v>7.4035426686680908E-2</v>
      </c>
      <c r="G44" s="95">
        <f t="shared" ref="G44:J44" si="12">AVERAGE($C$44:$E$44)</f>
        <v>7.4035426686680908E-2</v>
      </c>
      <c r="H44" s="95">
        <f t="shared" si="12"/>
        <v>7.4035426686680908E-2</v>
      </c>
      <c r="I44" s="95">
        <f t="shared" si="12"/>
        <v>7.4035426686680908E-2</v>
      </c>
      <c r="J44" s="95">
        <f t="shared" si="12"/>
        <v>7.4035426686680908E-2</v>
      </c>
    </row>
    <row r="45" spans="2:10" x14ac:dyDescent="0.3">
      <c r="B45" t="s">
        <v>122</v>
      </c>
      <c r="C45" s="96">
        <f>C89/C11</f>
        <v>-3.8624052004333692E-2</v>
      </c>
      <c r="D45" s="96">
        <f>D89/D11</f>
        <v>-3.3558939650310204E-2</v>
      </c>
      <c r="E45" s="96">
        <f>E89/E11</f>
        <v>-9.5514950166112941E-3</v>
      </c>
      <c r="F45" s="95">
        <f>AVERAGE($C$45:$E$45)</f>
        <v>-2.7244828890418394E-2</v>
      </c>
      <c r="G45" s="95">
        <f t="shared" ref="G45:J45" si="13">AVERAGE($C$45:$E$45)</f>
        <v>-2.7244828890418394E-2</v>
      </c>
      <c r="H45" s="95">
        <f t="shared" si="13"/>
        <v>-2.7244828890418394E-2</v>
      </c>
      <c r="I45" s="95">
        <f t="shared" si="13"/>
        <v>-2.7244828890418394E-2</v>
      </c>
      <c r="J45" s="95">
        <f t="shared" si="13"/>
        <v>-2.7244828890418394E-2</v>
      </c>
    </row>
    <row r="52" spans="2:10" ht="18.600000000000001" thickBot="1" x14ac:dyDescent="0.4">
      <c r="B52" s="67" t="s">
        <v>82</v>
      </c>
      <c r="C52" s="67"/>
      <c r="D52" s="67"/>
      <c r="E52" s="67"/>
      <c r="F52" s="67"/>
      <c r="G52" s="67"/>
      <c r="H52" s="67"/>
      <c r="I52" s="67"/>
      <c r="J52" s="67"/>
    </row>
    <row r="53" spans="2:10" x14ac:dyDescent="0.3">
      <c r="B53" t="s">
        <v>83</v>
      </c>
      <c r="D53" s="58">
        <f>C5</f>
        <v>1.5959999999999999</v>
      </c>
    </row>
    <row r="54" spans="2:10" x14ac:dyDescent="0.3">
      <c r="B54" t="s">
        <v>84</v>
      </c>
      <c r="D54">
        <f>C6</f>
        <v>70.16</v>
      </c>
    </row>
    <row r="55" spans="2:10" x14ac:dyDescent="0.3">
      <c r="B55" t="s">
        <v>85</v>
      </c>
      <c r="D55" s="78">
        <f>AVERAGE(C36:E36)/AVERAGE(C35:E35)</f>
        <v>0.14329865045843207</v>
      </c>
    </row>
    <row r="56" spans="2:10" x14ac:dyDescent="0.3">
      <c r="B56" t="s">
        <v>86</v>
      </c>
      <c r="D56" s="78">
        <v>0.25</v>
      </c>
    </row>
    <row r="57" spans="2:10" x14ac:dyDescent="0.3">
      <c r="B57" t="s">
        <v>87</v>
      </c>
      <c r="D57" s="81">
        <f>D55*(1-D56)</f>
        <v>0.10747398784382406</v>
      </c>
    </row>
    <row r="58" spans="2:10" x14ac:dyDescent="0.3">
      <c r="B58" t="s">
        <v>117</v>
      </c>
      <c r="D58" s="82">
        <f>0.74*(1+(1-D56)*(D61/D62))</f>
        <v>0.92603398104725898</v>
      </c>
    </row>
    <row r="59" spans="2:10" x14ac:dyDescent="0.3">
      <c r="B59" t="s">
        <v>88</v>
      </c>
      <c r="D59" s="73">
        <f>4.74+D58*5.05</f>
        <v>9.4164716042886578</v>
      </c>
    </row>
    <row r="61" spans="2:10" x14ac:dyDescent="0.3">
      <c r="B61" t="s">
        <v>89</v>
      </c>
      <c r="D61" s="83">
        <f>AVERAGE(C35:E35)</f>
        <v>37.533733333333331</v>
      </c>
    </row>
    <row r="62" spans="2:10" x14ac:dyDescent="0.3">
      <c r="B62" t="s">
        <v>90</v>
      </c>
      <c r="D62" s="83">
        <f>D53*D54</f>
        <v>111.97535999999998</v>
      </c>
    </row>
    <row r="63" spans="2:10" x14ac:dyDescent="0.3">
      <c r="B63" s="4" t="s">
        <v>91</v>
      </c>
      <c r="D63" s="84">
        <f>D62+D61</f>
        <v>149.50909333333331</v>
      </c>
    </row>
    <row r="65" spans="2:10" x14ac:dyDescent="0.3">
      <c r="B65" t="s">
        <v>92</v>
      </c>
      <c r="D65" s="96">
        <f>D61/D63</f>
        <v>0.25104649153112829</v>
      </c>
    </row>
    <row r="66" spans="2:10" x14ac:dyDescent="0.3">
      <c r="B66" t="s">
        <v>93</v>
      </c>
      <c r="D66" s="96">
        <f>D62/D63</f>
        <v>0.74895350846887165</v>
      </c>
    </row>
    <row r="67" spans="2:10" x14ac:dyDescent="0.3">
      <c r="B67" s="4" t="s">
        <v>110</v>
      </c>
      <c r="D67" s="87">
        <f>((D66*D59)+D65*D57)/100</f>
        <v>7.0794804130085473E-2</v>
      </c>
    </row>
    <row r="68" spans="2:10" ht="18.600000000000001" thickBot="1" x14ac:dyDescent="0.4">
      <c r="B68" s="67" t="s">
        <v>126</v>
      </c>
      <c r="C68" s="67"/>
      <c r="D68" s="67"/>
      <c r="E68" s="67"/>
      <c r="F68" s="67"/>
      <c r="G68" s="67"/>
      <c r="H68" s="67"/>
      <c r="I68" s="67"/>
      <c r="J68" s="67"/>
    </row>
    <row r="69" spans="2:10" x14ac:dyDescent="0.3">
      <c r="B69" s="59" t="s">
        <v>71</v>
      </c>
      <c r="F69" s="63"/>
      <c r="G69" s="64" t="s">
        <v>111</v>
      </c>
      <c r="H69" s="65"/>
      <c r="I69" s="65"/>
      <c r="J69" s="66"/>
    </row>
    <row r="70" spans="2:10" x14ac:dyDescent="0.3">
      <c r="C70" s="61" t="s">
        <v>103</v>
      </c>
      <c r="D70" s="61" t="s">
        <v>102</v>
      </c>
      <c r="E70" s="61" t="s">
        <v>104</v>
      </c>
      <c r="F70" s="61" t="s">
        <v>105</v>
      </c>
      <c r="G70" s="61" t="s">
        <v>106</v>
      </c>
      <c r="H70" s="61" t="s">
        <v>107</v>
      </c>
      <c r="I70" s="61" t="s">
        <v>108</v>
      </c>
      <c r="J70" s="61" t="s">
        <v>109</v>
      </c>
    </row>
    <row r="71" spans="2:10" x14ac:dyDescent="0.3">
      <c r="B71" t="s">
        <v>77</v>
      </c>
      <c r="C71" s="58">
        <f>C30</f>
        <v>8.2127999999999997</v>
      </c>
      <c r="D71" s="58">
        <f>D30</f>
        <v>8.468</v>
      </c>
      <c r="E71" s="58">
        <f>E30</f>
        <v>7.1803999999999997</v>
      </c>
      <c r="F71" s="58">
        <f>F30</f>
        <v>6.2481840664846091</v>
      </c>
      <c r="G71" s="58">
        <f>G30</f>
        <v>6.4043886681467237</v>
      </c>
      <c r="H71" s="58">
        <f>H30</f>
        <v>6.5644983848503911</v>
      </c>
      <c r="I71" s="58">
        <f>I30</f>
        <v>6.7286108444716506</v>
      </c>
      <c r="J71" s="58">
        <f>J30</f>
        <v>6.8968261155834414</v>
      </c>
    </row>
    <row r="72" spans="2:10" x14ac:dyDescent="0.3">
      <c r="B72" t="s">
        <v>64</v>
      </c>
      <c r="C72" s="58">
        <f>C29</f>
        <v>55.97</v>
      </c>
      <c r="D72" s="58">
        <f t="shared" ref="D72:J72" si="14">D29</f>
        <v>38.465599999999995</v>
      </c>
      <c r="E72" s="58">
        <f t="shared" si="14"/>
        <v>21.135199999999998</v>
      </c>
      <c r="F72" s="58">
        <f t="shared" si="14"/>
        <v>28.618354739942681</v>
      </c>
      <c r="G72" s="58">
        <f t="shared" si="14"/>
        <v>29.333813608441247</v>
      </c>
      <c r="H72" s="58">
        <f t="shared" si="14"/>
        <v>30.067158948652278</v>
      </c>
      <c r="I72" s="58">
        <f t="shared" si="14"/>
        <v>30.818837922368584</v>
      </c>
      <c r="J72" s="58">
        <f t="shared" si="14"/>
        <v>31.589308870427793</v>
      </c>
    </row>
    <row r="73" spans="2:10" x14ac:dyDescent="0.3">
      <c r="B73" t="s">
        <v>65</v>
      </c>
      <c r="C73" s="58">
        <f>-C30</f>
        <v>-8.2127999999999997</v>
      </c>
      <c r="D73" s="58">
        <f t="shared" ref="D73:J73" si="15">-D30</f>
        <v>-8.468</v>
      </c>
      <c r="E73" s="58">
        <f t="shared" si="15"/>
        <v>-7.1803999999999997</v>
      </c>
      <c r="F73" s="58">
        <f t="shared" si="15"/>
        <v>-6.2481840664846091</v>
      </c>
      <c r="G73" s="58">
        <f t="shared" si="15"/>
        <v>-6.4043886681467237</v>
      </c>
      <c r="H73" s="58">
        <f t="shared" si="15"/>
        <v>-6.5644983848503911</v>
      </c>
      <c r="I73" s="58">
        <f t="shared" si="15"/>
        <v>-6.7286108444716506</v>
      </c>
      <c r="J73" s="58">
        <f t="shared" si="15"/>
        <v>-6.8968261155834414</v>
      </c>
    </row>
    <row r="74" spans="2:10" x14ac:dyDescent="0.3">
      <c r="B74" t="s">
        <v>127</v>
      </c>
      <c r="C74" s="58">
        <f>-C32</f>
        <v>-16.761999999999997</v>
      </c>
      <c r="D74" s="58">
        <f t="shared" ref="D74:J74" si="16">-D32</f>
        <v>-11.518799999999999</v>
      </c>
      <c r="E74" s="58">
        <f t="shared" si="16"/>
        <v>-11.994399999999999</v>
      </c>
      <c r="F74" s="58">
        <f t="shared" si="16"/>
        <v>-10.505928144241386</v>
      </c>
      <c r="G74" s="58">
        <f t="shared" si="16"/>
        <v>-10.768576347847418</v>
      </c>
      <c r="H74" s="58">
        <f t="shared" si="16"/>
        <v>-11.037790756543604</v>
      </c>
      <c r="I74" s="58">
        <f t="shared" si="16"/>
        <v>-11.313735525457194</v>
      </c>
      <c r="J74" s="58">
        <f t="shared" si="16"/>
        <v>-11.596578913593621</v>
      </c>
    </row>
    <row r="75" spans="2:10" x14ac:dyDescent="0.3">
      <c r="B75" t="s">
        <v>128</v>
      </c>
      <c r="C75" s="58">
        <f>-C33</f>
        <v>-14.998799999999999</v>
      </c>
      <c r="D75" s="58">
        <f t="shared" ref="D75:J75" si="17">-D33</f>
        <v>-1.9984000000000002</v>
      </c>
      <c r="E75" s="58">
        <f t="shared" si="17"/>
        <v>-15.601999999999999</v>
      </c>
      <c r="F75" s="58">
        <f t="shared" si="17"/>
        <v>-9.1367120074032915</v>
      </c>
      <c r="G75" s="58">
        <f t="shared" si="17"/>
        <v>-9.3651298075883727</v>
      </c>
      <c r="H75" s="58">
        <f t="shared" si="17"/>
        <v>-9.5992580527780813</v>
      </c>
      <c r="I75" s="58">
        <f t="shared" si="17"/>
        <v>-9.8392395040975327</v>
      </c>
      <c r="J75" s="58">
        <f t="shared" si="17"/>
        <v>-10.085220491699969</v>
      </c>
    </row>
    <row r="76" spans="2:10" x14ac:dyDescent="0.3">
      <c r="B76" s="4" t="s">
        <v>126</v>
      </c>
      <c r="C76" s="92">
        <f>SUM(C71:C75)</f>
        <v>24.209199999999999</v>
      </c>
      <c r="D76" s="92">
        <f t="shared" ref="D76:J76" si="18">SUM(D71:D75)</f>
        <v>24.948399999999996</v>
      </c>
      <c r="E76" s="92">
        <f t="shared" si="18"/>
        <v>-6.4611999999999998</v>
      </c>
      <c r="F76" s="92">
        <f t="shared" si="18"/>
        <v>8.9757145882980094</v>
      </c>
      <c r="G76" s="92">
        <f t="shared" si="18"/>
        <v>9.2001074530054563</v>
      </c>
      <c r="H76" s="92">
        <f t="shared" si="18"/>
        <v>9.4301101393305888</v>
      </c>
      <c r="I76" s="92">
        <f t="shared" si="18"/>
        <v>9.6658628928138572</v>
      </c>
      <c r="J76" s="92">
        <f t="shared" si="18"/>
        <v>9.9075094651342059</v>
      </c>
    </row>
    <row r="77" spans="2:10" x14ac:dyDescent="0.3">
      <c r="B77" s="4"/>
      <c r="C77" s="130"/>
      <c r="D77" s="130"/>
      <c r="E77" s="130"/>
      <c r="F77" s="130"/>
      <c r="G77" s="130"/>
      <c r="H77" s="130"/>
      <c r="I77" s="130"/>
      <c r="J77" s="130"/>
    </row>
    <row r="78" spans="2:10" ht="18.600000000000001" thickBot="1" x14ac:dyDescent="0.4">
      <c r="B78" s="67" t="s">
        <v>70</v>
      </c>
      <c r="C78" s="67"/>
      <c r="D78" s="67"/>
      <c r="E78" s="67"/>
      <c r="F78" s="67"/>
      <c r="G78" s="67"/>
      <c r="H78" s="67"/>
      <c r="I78" s="67"/>
      <c r="J78" s="67"/>
    </row>
    <row r="79" spans="2:10" x14ac:dyDescent="0.3">
      <c r="B79" s="59" t="s">
        <v>71</v>
      </c>
      <c r="C79" s="68"/>
      <c r="D79" s="60"/>
      <c r="E79" s="69"/>
      <c r="F79" s="63"/>
      <c r="G79" s="64" t="s">
        <v>111</v>
      </c>
      <c r="H79" s="65"/>
      <c r="I79" s="65"/>
      <c r="J79" s="66"/>
    </row>
    <row r="80" spans="2:10" x14ac:dyDescent="0.3">
      <c r="C80" s="61" t="s">
        <v>103</v>
      </c>
      <c r="D80" s="61" t="s">
        <v>102</v>
      </c>
      <c r="E80" s="61" t="s">
        <v>104</v>
      </c>
      <c r="F80" s="61" t="s">
        <v>105</v>
      </c>
      <c r="G80" s="61" t="s">
        <v>106</v>
      </c>
      <c r="H80" s="61" t="s">
        <v>107</v>
      </c>
      <c r="I80" s="61" t="s">
        <v>108</v>
      </c>
      <c r="J80" s="61" t="s">
        <v>109</v>
      </c>
    </row>
    <row r="81" spans="2:10" x14ac:dyDescent="0.3">
      <c r="B81" t="s">
        <v>72</v>
      </c>
      <c r="C81" s="62"/>
      <c r="D81" s="62"/>
      <c r="E81" s="62"/>
      <c r="F81" s="62">
        <v>1</v>
      </c>
      <c r="G81" s="62">
        <v>2</v>
      </c>
      <c r="H81" s="62">
        <v>3</v>
      </c>
      <c r="I81" s="62">
        <v>4</v>
      </c>
      <c r="J81" s="62">
        <v>5</v>
      </c>
    </row>
    <row r="82" spans="2:10" x14ac:dyDescent="0.3">
      <c r="B82" t="s">
        <v>73</v>
      </c>
      <c r="F82" s="90">
        <f>F11</f>
        <v>123.41</v>
      </c>
      <c r="G82" s="90">
        <f t="shared" ref="G82:J82" si="19">G11</f>
        <v>126.49524999999998</v>
      </c>
      <c r="H82" s="90">
        <f t="shared" si="19"/>
        <v>129.65763124999998</v>
      </c>
      <c r="I82" s="90">
        <f t="shared" si="19"/>
        <v>132.89907203124997</v>
      </c>
      <c r="J82" s="90">
        <f t="shared" si="19"/>
        <v>136.2215488320312</v>
      </c>
    </row>
    <row r="83" spans="2:10" x14ac:dyDescent="0.3">
      <c r="B83" t="s">
        <v>55</v>
      </c>
      <c r="F83" s="58">
        <f>F15</f>
        <v>4.31935</v>
      </c>
      <c r="G83" s="58">
        <f t="shared" ref="G83:J83" si="20">G15</f>
        <v>5.0598099999999997</v>
      </c>
      <c r="H83" s="58">
        <f t="shared" si="20"/>
        <v>5.8345934062499989</v>
      </c>
      <c r="I83" s="58">
        <f t="shared" si="20"/>
        <v>6.6449536015624986</v>
      </c>
      <c r="J83" s="58">
        <f t="shared" si="20"/>
        <v>8.1732929299218711</v>
      </c>
    </row>
    <row r="84" spans="2:10" x14ac:dyDescent="0.3">
      <c r="B84" t="s">
        <v>74</v>
      </c>
      <c r="F84" s="58">
        <f>F19</f>
        <v>-10.442686438356212</v>
      </c>
      <c r="G84" s="58">
        <f>G19</f>
        <v>-11.162996846477025</v>
      </c>
      <c r="H84" s="58">
        <f>H19</f>
        <v>-11.993533700541471</v>
      </c>
      <c r="I84" s="58">
        <f>I19</f>
        <v>-12.947347480721302</v>
      </c>
      <c r="J84" s="58">
        <f>J19</f>
        <v>-13.357755138084748</v>
      </c>
    </row>
    <row r="85" spans="2:10" x14ac:dyDescent="0.3">
      <c r="B85" t="s">
        <v>75</v>
      </c>
      <c r="F85" s="79">
        <v>0.25</v>
      </c>
      <c r="G85" s="79">
        <v>0.25</v>
      </c>
      <c r="H85" s="79">
        <v>0.25</v>
      </c>
      <c r="I85" s="79">
        <v>0.25</v>
      </c>
      <c r="J85" s="79">
        <v>0.25</v>
      </c>
    </row>
    <row r="86" spans="2:10" x14ac:dyDescent="0.3">
      <c r="B86" s="4" t="s">
        <v>76</v>
      </c>
      <c r="F86" s="91">
        <f>F84*(1-F85)</f>
        <v>-7.8320148287671589</v>
      </c>
      <c r="G86" s="91">
        <f t="shared" ref="G86:J86" si="21">G84*(1-G85)</f>
        <v>-8.3722476348577679</v>
      </c>
      <c r="H86" s="91">
        <f t="shared" si="21"/>
        <v>-8.9951502754061039</v>
      </c>
      <c r="I86" s="91">
        <f t="shared" si="21"/>
        <v>-9.7105106105409753</v>
      </c>
      <c r="J86" s="91">
        <f t="shared" si="21"/>
        <v>-10.018316353563561</v>
      </c>
    </row>
    <row r="87" spans="2:10" x14ac:dyDescent="0.3">
      <c r="B87" t="s">
        <v>59</v>
      </c>
      <c r="F87" s="58">
        <f>F22</f>
        <v>14.762036438356212</v>
      </c>
      <c r="G87" s="58">
        <f t="shared" ref="G87:J87" si="22">G22</f>
        <v>16.222806846477024</v>
      </c>
      <c r="H87" s="58">
        <f t="shared" si="22"/>
        <v>17.82812710679147</v>
      </c>
      <c r="I87" s="58">
        <f t="shared" si="22"/>
        <v>19.5923010822838</v>
      </c>
      <c r="J87" s="58">
        <f t="shared" si="22"/>
        <v>21.531048068006619</v>
      </c>
    </row>
    <row r="88" spans="2:10" x14ac:dyDescent="0.3">
      <c r="B88" t="s">
        <v>130</v>
      </c>
      <c r="F88" s="58">
        <f>(F76-E76)</f>
        <v>15.436914588298009</v>
      </c>
      <c r="G88" s="58">
        <f>-(G76-F76)</f>
        <v>-0.2243928647074469</v>
      </c>
      <c r="H88" s="58">
        <f>-(H76-G76)</f>
        <v>-0.23000268632513254</v>
      </c>
      <c r="I88" s="58">
        <f>-(I76-H76)</f>
        <v>-0.23575275348326841</v>
      </c>
      <c r="J88" s="58">
        <f>-(J76-I76)</f>
        <v>-0.2416465723203487</v>
      </c>
    </row>
    <row r="89" spans="2:10" x14ac:dyDescent="0.3">
      <c r="B89" t="s">
        <v>78</v>
      </c>
      <c r="C89" s="58">
        <v>-7.13</v>
      </c>
      <c r="D89" s="58">
        <v>-5.95</v>
      </c>
      <c r="E89" s="58">
        <v>-1.1499999999999999</v>
      </c>
      <c r="F89" s="58">
        <f>F45*F11</f>
        <v>-3.3622843333665338</v>
      </c>
      <c r="G89" s="58">
        <f>G45*G11</f>
        <v>-3.4463414417006968</v>
      </c>
      <c r="H89" s="58">
        <f>H45*H11</f>
        <v>-3.5324999777432144</v>
      </c>
      <c r="I89" s="58">
        <f>I45*I11</f>
        <v>-3.6208124771867944</v>
      </c>
      <c r="J89" s="58">
        <f>J45*J11</f>
        <v>-3.7113327891164638</v>
      </c>
    </row>
    <row r="90" spans="2:10" x14ac:dyDescent="0.3">
      <c r="B90" s="4" t="s">
        <v>79</v>
      </c>
      <c r="F90" s="92">
        <f>SUM(F86:F89)</f>
        <v>19.004651864520529</v>
      </c>
      <c r="G90" s="92">
        <f t="shared" ref="G90:J90" si="23">SUM(G86:G89)</f>
        <v>4.1798249052111123</v>
      </c>
      <c r="H90" s="92">
        <f t="shared" si="23"/>
        <v>5.0704741673170197</v>
      </c>
      <c r="I90" s="92">
        <f t="shared" si="23"/>
        <v>6.0252252410727625</v>
      </c>
      <c r="J90" s="92">
        <f t="shared" si="23"/>
        <v>7.559752353006246</v>
      </c>
    </row>
    <row r="91" spans="2:10" x14ac:dyDescent="0.3">
      <c r="B91" t="s">
        <v>112</v>
      </c>
      <c r="F91" s="88">
        <f>$D$67</f>
        <v>7.0794804130085473E-2</v>
      </c>
      <c r="G91" s="88">
        <f t="shared" ref="G91:J91" si="24">$D$67</f>
        <v>7.0794804130085473E-2</v>
      </c>
      <c r="H91" s="88">
        <f t="shared" si="24"/>
        <v>7.0794804130085473E-2</v>
      </c>
      <c r="I91" s="88">
        <f t="shared" si="24"/>
        <v>7.0794804130085473E-2</v>
      </c>
      <c r="J91" s="88">
        <f t="shared" si="24"/>
        <v>7.0794804130085473E-2</v>
      </c>
    </row>
    <row r="92" spans="2:10" x14ac:dyDescent="0.3">
      <c r="B92" s="4" t="s">
        <v>80</v>
      </c>
      <c r="F92" s="91">
        <f>F90/((1+F91)^F81)</f>
        <v>17.748173404670116</v>
      </c>
      <c r="G92" s="91">
        <f t="shared" ref="G92:J92" si="25">G90/((1+G91)^G81)</f>
        <v>3.6454032717156348</v>
      </c>
      <c r="H92" s="91">
        <f t="shared" si="25"/>
        <v>4.1298075027151668</v>
      </c>
      <c r="I92" s="91">
        <f t="shared" si="25"/>
        <v>4.5829832090798872</v>
      </c>
      <c r="J92" s="91">
        <f t="shared" si="25"/>
        <v>5.3700248199839287</v>
      </c>
    </row>
    <row r="93" spans="2:10" x14ac:dyDescent="0.3">
      <c r="B93" s="4" t="s">
        <v>81</v>
      </c>
      <c r="C93" s="92">
        <f>SUM(F92:J92)</f>
        <v>35.476392208164732</v>
      </c>
    </row>
    <row r="94" spans="2:10" x14ac:dyDescent="0.3">
      <c r="B94" s="4"/>
      <c r="C94" s="130"/>
    </row>
    <row r="95" spans="2:10" ht="18.600000000000001" thickBot="1" x14ac:dyDescent="0.4">
      <c r="B95" s="67" t="s">
        <v>94</v>
      </c>
      <c r="C95" s="67"/>
      <c r="D95" s="67"/>
      <c r="E95" s="67"/>
      <c r="F95" s="67"/>
      <c r="G95" s="67"/>
      <c r="H95" s="67"/>
      <c r="I95" s="67"/>
      <c r="J95" s="67"/>
    </row>
    <row r="96" spans="2:10" x14ac:dyDescent="0.3">
      <c r="B96" s="4" t="s">
        <v>95</v>
      </c>
    </row>
    <row r="97" spans="2:10" x14ac:dyDescent="0.3">
      <c r="B97" t="s">
        <v>96</v>
      </c>
      <c r="C97" s="78">
        <v>0.02</v>
      </c>
    </row>
    <row r="98" spans="2:10" x14ac:dyDescent="0.3">
      <c r="B98" t="s">
        <v>82</v>
      </c>
      <c r="C98" s="13">
        <f>D67</f>
        <v>7.0794804130085473E-2</v>
      </c>
    </row>
    <row r="99" spans="2:10" x14ac:dyDescent="0.3">
      <c r="B99" t="s">
        <v>97</v>
      </c>
      <c r="C99" s="58">
        <f>J90*(1+C97)</f>
        <v>7.7109474000663711</v>
      </c>
    </row>
    <row r="100" spans="2:10" x14ac:dyDescent="0.3">
      <c r="B100" t="s">
        <v>94</v>
      </c>
      <c r="C100" s="58">
        <f>C99/(C98-C97)</f>
        <v>151.80582998841061</v>
      </c>
    </row>
    <row r="101" spans="2:10" x14ac:dyDescent="0.3">
      <c r="B101" s="4" t="s">
        <v>118</v>
      </c>
      <c r="C101" s="92">
        <f>C100/((1+C98)^J81)</f>
        <v>107.83436239572703</v>
      </c>
    </row>
    <row r="102" spans="2:10" x14ac:dyDescent="0.3">
      <c r="B102" s="4"/>
      <c r="C102" s="130"/>
    </row>
    <row r="103" spans="2:10" ht="18.600000000000001" thickBot="1" x14ac:dyDescent="0.4">
      <c r="B103" s="67" t="s">
        <v>98</v>
      </c>
      <c r="C103" s="67"/>
      <c r="D103" s="67"/>
      <c r="E103" s="67"/>
      <c r="F103" s="67"/>
      <c r="G103" s="67"/>
      <c r="H103" s="67"/>
      <c r="I103" s="67"/>
      <c r="J103" s="67"/>
    </row>
    <row r="104" spans="2:10" x14ac:dyDescent="0.3">
      <c r="B104" t="s">
        <v>99</v>
      </c>
      <c r="C104" s="58">
        <f>C101+C93</f>
        <v>143.31075460389175</v>
      </c>
    </row>
    <row r="105" spans="2:10" x14ac:dyDescent="0.3">
      <c r="B105" t="s">
        <v>100</v>
      </c>
      <c r="C105" s="58">
        <f>E35-E27</f>
        <v>26.227599999999995</v>
      </c>
    </row>
    <row r="106" spans="2:10" x14ac:dyDescent="0.3">
      <c r="B106" s="4" t="s">
        <v>101</v>
      </c>
      <c r="C106" s="92">
        <f>C104-C105</f>
        <v>117.08315460389176</v>
      </c>
    </row>
    <row r="107" spans="2:10" x14ac:dyDescent="0.3">
      <c r="B107" t="s">
        <v>84</v>
      </c>
      <c r="C107">
        <f>C6</f>
        <v>70.16</v>
      </c>
    </row>
    <row r="108" spans="2:10" x14ac:dyDescent="0.3">
      <c r="B108" s="77" t="s">
        <v>113</v>
      </c>
      <c r="C108" s="94">
        <f>C106/C107</f>
        <v>1.6688020895651619</v>
      </c>
    </row>
  </sheetData>
  <pageMargins left="0.7" right="0.7" top="0.75" bottom="0.75" header="0.3" footer="0.3"/>
  <pageSetup paperSize="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1E353-D8B6-4630-AA17-F48514B0CCD8}">
  <dimension ref="B2:H20"/>
  <sheetViews>
    <sheetView topLeftCell="A10" workbookViewId="0">
      <selection activeCell="G10" sqref="G10"/>
    </sheetView>
  </sheetViews>
  <sheetFormatPr defaultRowHeight="14.4" x14ac:dyDescent="0.3"/>
  <cols>
    <col min="2" max="2" width="26.21875" customWidth="1"/>
    <col min="3" max="3" width="20.5546875" customWidth="1"/>
    <col min="4" max="4" width="19.21875" bestFit="1" customWidth="1"/>
    <col min="5" max="5" width="41.33203125" customWidth="1"/>
    <col min="6" max="6" width="18.44140625" customWidth="1"/>
    <col min="7" max="7" width="19.77734375" bestFit="1" customWidth="1"/>
    <col min="8" max="8" width="20.109375" bestFit="1" customWidth="1"/>
  </cols>
  <sheetData>
    <row r="2" spans="2:8" ht="28.8" x14ac:dyDescent="0.55000000000000004">
      <c r="B2" s="1" t="s">
        <v>132</v>
      </c>
    </row>
    <row r="3" spans="2:8" ht="18.600000000000001" thickBot="1" x14ac:dyDescent="0.4">
      <c r="B3" s="67" t="s">
        <v>140</v>
      </c>
      <c r="C3" s="67"/>
      <c r="D3" s="67"/>
      <c r="E3" s="67"/>
      <c r="F3" s="67"/>
      <c r="G3" s="67"/>
    </row>
    <row r="4" spans="2:8" x14ac:dyDescent="0.3">
      <c r="B4" s="103" t="s">
        <v>4</v>
      </c>
      <c r="C4" s="103" t="s">
        <v>136</v>
      </c>
      <c r="D4" s="103" t="s">
        <v>146</v>
      </c>
      <c r="E4" s="103" t="s">
        <v>137</v>
      </c>
      <c r="F4" s="103" t="s">
        <v>138</v>
      </c>
      <c r="G4" s="103" t="s">
        <v>139</v>
      </c>
    </row>
    <row r="5" spans="2:8" x14ac:dyDescent="0.3">
      <c r="B5" t="s">
        <v>133</v>
      </c>
      <c r="C5" s="58">
        <f>'DCF - Ferragamo'!C96</f>
        <v>1720.5736840980273</v>
      </c>
      <c r="D5" s="58">
        <f>'DCF - Ferragamo'!C5</f>
        <v>10.27</v>
      </c>
      <c r="E5" s="58">
        <f>'DCF - Ferragamo'!C98</f>
        <v>10.38492083593691</v>
      </c>
      <c r="F5" s="96">
        <f>E5/D5-1</f>
        <v>1.1189954813720648E-2</v>
      </c>
      <c r="G5" s="4" t="s">
        <v>41</v>
      </c>
    </row>
    <row r="6" spans="2:8" x14ac:dyDescent="0.3">
      <c r="B6" t="s">
        <v>134</v>
      </c>
      <c r="C6" s="58">
        <f>'DCF - Burberry'!C96</f>
        <v>6214.9092151531004</v>
      </c>
      <c r="D6" s="58">
        <f>'DCF - Burberry'!C5</f>
        <v>12.676799999999998</v>
      </c>
      <c r="E6" s="58">
        <f>'DCF - Burberry'!C98</f>
        <v>17.349904288414898</v>
      </c>
      <c r="F6" s="96">
        <f t="shared" ref="F6:F7" si="0">E6/D6-1</f>
        <v>0.36863437842475233</v>
      </c>
      <c r="G6" s="4" t="s">
        <v>141</v>
      </c>
    </row>
    <row r="7" spans="2:8" x14ac:dyDescent="0.3">
      <c r="B7" t="s">
        <v>135</v>
      </c>
      <c r="C7" s="58">
        <f>'DCF - Mulberry Group plc'!C106</f>
        <v>117.08315460389176</v>
      </c>
      <c r="D7" s="58">
        <f>'DCF - Mulberry Group plc'!C5</f>
        <v>1.5959999999999999</v>
      </c>
      <c r="E7" s="58">
        <f>'DCF - Mulberry Group plc'!C108</f>
        <v>1.6688020895651619</v>
      </c>
      <c r="F7" s="96">
        <f t="shared" si="0"/>
        <v>4.5615344339073882E-2</v>
      </c>
      <c r="G7" s="4" t="s">
        <v>141</v>
      </c>
    </row>
    <row r="8" spans="2:8" ht="18.600000000000001" thickBot="1" x14ac:dyDescent="0.4">
      <c r="B8" s="67" t="s">
        <v>142</v>
      </c>
      <c r="C8" s="67"/>
    </row>
    <row r="9" spans="2:8" ht="18.600000000000001" thickBot="1" x14ac:dyDescent="0.35">
      <c r="B9" s="103" t="s">
        <v>4</v>
      </c>
      <c r="C9" s="103" t="s">
        <v>144</v>
      </c>
      <c r="E9" s="125" t="s">
        <v>145</v>
      </c>
    </row>
    <row r="10" spans="2:8" ht="304.8" customHeight="1" x14ac:dyDescent="0.3">
      <c r="B10" s="53" t="s">
        <v>33</v>
      </c>
      <c r="C10" s="106" t="s">
        <v>154</v>
      </c>
      <c r="E10" s="104" t="s">
        <v>153</v>
      </c>
    </row>
    <row r="11" spans="2:8" ht="187.2" x14ac:dyDescent="0.3">
      <c r="B11" s="53" t="s">
        <v>45</v>
      </c>
      <c r="C11" s="104" t="s">
        <v>155</v>
      </c>
    </row>
    <row r="12" spans="2:8" ht="18.600000000000001" thickBot="1" x14ac:dyDescent="0.4">
      <c r="B12" s="67" t="s">
        <v>143</v>
      </c>
      <c r="C12" s="67"/>
      <c r="D12" s="67"/>
      <c r="E12" s="67"/>
      <c r="F12" s="67"/>
      <c r="G12" s="67"/>
      <c r="H12" s="67"/>
    </row>
    <row r="13" spans="2:8" ht="15.6" x14ac:dyDescent="0.3">
      <c r="B13" s="105" t="s">
        <v>4</v>
      </c>
      <c r="C13" s="105" t="s">
        <v>152</v>
      </c>
      <c r="D13" s="105" t="s">
        <v>147</v>
      </c>
      <c r="E13" s="105" t="s">
        <v>148</v>
      </c>
      <c r="F13" s="105" t="s">
        <v>149</v>
      </c>
      <c r="G13" s="105" t="s">
        <v>150</v>
      </c>
      <c r="H13" s="105" t="s">
        <v>151</v>
      </c>
    </row>
    <row r="14" spans="2:8" ht="15" customHeight="1" x14ac:dyDescent="0.3">
      <c r="B14" t="s">
        <v>43</v>
      </c>
      <c r="C14" s="81">
        <v>0.2</v>
      </c>
      <c r="D14" s="81">
        <v>0.35</v>
      </c>
      <c r="E14" s="58">
        <f>'DCF - Ferragamo'!C5*(1+'Target Recommendation'!C14)</f>
        <v>12.324</v>
      </c>
      <c r="F14" s="58">
        <f>'DCF - Ferragamo'!C5*(1+'Target Recommendation'!D14)</f>
        <v>13.8645</v>
      </c>
      <c r="G14" s="83">
        <f>E14*'DCF - Ferragamo'!$C$97</f>
        <v>2041.84032</v>
      </c>
      <c r="H14" s="83">
        <f>F14*'DCF - Ferragamo'!$C$97</f>
        <v>2297.0703600000002</v>
      </c>
    </row>
    <row r="15" spans="2:8" ht="18" x14ac:dyDescent="0.35">
      <c r="B15" s="5"/>
    </row>
    <row r="16" spans="2:8" ht="18" x14ac:dyDescent="0.35">
      <c r="B16" s="5"/>
    </row>
    <row r="20" ht="232.8" customHeight="1" x14ac:dyDescent="0.3"/>
  </sheetData>
  <pageMargins left="0.7" right="0.7" top="0.75" bottom="0.75" header="0.3" footer="0.3"/>
  <pageSetup paperSize="8"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DF883-6DE8-49A5-A1C6-EB0145CBACC5}">
  <dimension ref="B2:E9"/>
  <sheetViews>
    <sheetView topLeftCell="A15" zoomScale="99" zoomScaleNormal="99" workbookViewId="0">
      <selection activeCell="C8" sqref="C8"/>
    </sheetView>
  </sheetViews>
  <sheetFormatPr defaultRowHeight="14.4" x14ac:dyDescent="0.3"/>
  <cols>
    <col min="2" max="2" width="47.21875" customWidth="1"/>
    <col min="3" max="3" width="39.88671875" customWidth="1"/>
    <col min="4" max="4" width="31.21875" customWidth="1"/>
    <col min="5" max="5" width="13.5546875" bestFit="1" customWidth="1"/>
  </cols>
  <sheetData>
    <row r="2" spans="2:5" ht="28.8" x14ac:dyDescent="0.55000000000000004">
      <c r="B2" s="1" t="s">
        <v>156</v>
      </c>
    </row>
    <row r="4" spans="2:5" ht="18.600000000000001" thickBot="1" x14ac:dyDescent="0.4">
      <c r="B4" s="67" t="s">
        <v>162</v>
      </c>
      <c r="C4" s="67" t="s">
        <v>163</v>
      </c>
      <c r="D4" s="67" t="s">
        <v>164</v>
      </c>
      <c r="E4" s="67" t="s">
        <v>165</v>
      </c>
    </row>
    <row r="5" spans="2:5" ht="86.4" x14ac:dyDescent="0.3">
      <c r="B5" s="107" t="s">
        <v>157</v>
      </c>
      <c r="C5" s="108" t="s">
        <v>166</v>
      </c>
      <c r="D5" s="108" t="s">
        <v>167</v>
      </c>
      <c r="E5" s="109" t="s">
        <v>168</v>
      </c>
    </row>
    <row r="6" spans="2:5" ht="86.4" x14ac:dyDescent="0.3">
      <c r="B6" s="110" t="s">
        <v>158</v>
      </c>
      <c r="C6" s="111" t="s">
        <v>169</v>
      </c>
      <c r="D6" s="112" t="s">
        <v>170</v>
      </c>
      <c r="E6" s="113" t="s">
        <v>171</v>
      </c>
    </row>
    <row r="7" spans="2:5" ht="100.8" x14ac:dyDescent="0.3">
      <c r="B7" s="110" t="s">
        <v>159</v>
      </c>
      <c r="C7" s="111" t="s">
        <v>172</v>
      </c>
      <c r="D7" s="113" t="s">
        <v>174</v>
      </c>
      <c r="E7" s="113" t="s">
        <v>173</v>
      </c>
    </row>
    <row r="8" spans="2:5" ht="161.4" customHeight="1" x14ac:dyDescent="0.3">
      <c r="B8" s="110" t="s">
        <v>160</v>
      </c>
      <c r="C8" s="112" t="s">
        <v>175</v>
      </c>
      <c r="D8" s="112" t="s">
        <v>176</v>
      </c>
      <c r="E8" s="113" t="s">
        <v>168</v>
      </c>
    </row>
    <row r="9" spans="2:5" ht="144" x14ac:dyDescent="0.3">
      <c r="B9" s="110" t="s">
        <v>161</v>
      </c>
      <c r="C9" s="112" t="s">
        <v>177</v>
      </c>
      <c r="D9" s="112" t="s">
        <v>178</v>
      </c>
      <c r="E9" s="113" t="s">
        <v>173</v>
      </c>
    </row>
  </sheetData>
  <pageMargins left="0.7" right="0.7" top="0.75" bottom="0.75" header="0.3" footer="0.3"/>
  <pageSetup paperSize="8"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A5DDD-013B-4ABE-AAE6-57DAAA776156}">
  <dimension ref="B2:E11"/>
  <sheetViews>
    <sheetView topLeftCell="A3" workbookViewId="0">
      <selection activeCell="B12" sqref="B12"/>
    </sheetView>
  </sheetViews>
  <sheetFormatPr defaultRowHeight="14.4" x14ac:dyDescent="0.3"/>
  <cols>
    <col min="2" max="2" width="34" customWidth="1"/>
    <col min="3" max="3" width="9.44140625" bestFit="1" customWidth="1"/>
    <col min="4" max="4" width="36.21875" customWidth="1"/>
    <col min="5" max="5" width="9.44140625" bestFit="1" customWidth="1"/>
    <col min="7" max="7" width="8.88671875" customWidth="1"/>
  </cols>
  <sheetData>
    <row r="2" spans="2:5" ht="28.8" x14ac:dyDescent="0.55000000000000004">
      <c r="B2" s="1" t="s">
        <v>179</v>
      </c>
    </row>
    <row r="4" spans="2:5" ht="18.600000000000001" thickBot="1" x14ac:dyDescent="0.4">
      <c r="B4" s="67" t="s">
        <v>214</v>
      </c>
      <c r="C4" s="67"/>
      <c r="D4" s="67" t="s">
        <v>182</v>
      </c>
      <c r="E4" s="67"/>
    </row>
    <row r="5" spans="2:5" x14ac:dyDescent="0.3">
      <c r="B5" s="52" t="s">
        <v>63</v>
      </c>
      <c r="C5" s="116">
        <v>500</v>
      </c>
      <c r="D5" s="4" t="s">
        <v>183</v>
      </c>
      <c r="E5" s="114">
        <f>12.5*'DCF - Ferragamo'!C97</f>
        <v>2071</v>
      </c>
    </row>
    <row r="6" spans="2:5" x14ac:dyDescent="0.3">
      <c r="B6" s="40" t="s">
        <v>186</v>
      </c>
      <c r="C6" s="114">
        <f>E8-C5</f>
        <v>1612.42</v>
      </c>
      <c r="D6" s="4" t="s">
        <v>184</v>
      </c>
      <c r="E6" s="114">
        <v>0</v>
      </c>
    </row>
    <row r="7" spans="2:5" x14ac:dyDescent="0.3">
      <c r="B7" s="52"/>
      <c r="C7" s="114"/>
      <c r="D7" s="4" t="s">
        <v>185</v>
      </c>
      <c r="E7" s="114">
        <f>E5*2%</f>
        <v>41.42</v>
      </c>
    </row>
    <row r="8" spans="2:5" x14ac:dyDescent="0.3">
      <c r="B8" s="77" t="s">
        <v>180</v>
      </c>
      <c r="C8" s="115">
        <f>SUM(C5:C6)</f>
        <v>2112.42</v>
      </c>
      <c r="D8" s="118" t="s">
        <v>181</v>
      </c>
      <c r="E8" s="115">
        <f>SUM(E5:E7)</f>
        <v>2112.42</v>
      </c>
    </row>
    <row r="11" spans="2:5" ht="86.4" x14ac:dyDescent="0.3">
      <c r="B11" s="104" t="s">
        <v>222</v>
      </c>
      <c r="D11" s="106" t="s">
        <v>187</v>
      </c>
    </row>
  </sheetData>
  <pageMargins left="0.7" right="0.7" top="0.75" bottom="0.75" header="0.3" footer="0.3"/>
  <pageSetup paperSize="8"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21D66-0BB6-41A2-A644-E7B0BB70E301}">
  <dimension ref="B2:F14"/>
  <sheetViews>
    <sheetView topLeftCell="A3" workbookViewId="0">
      <selection activeCell="B3" sqref="A3:XFD3"/>
    </sheetView>
  </sheetViews>
  <sheetFormatPr defaultRowHeight="14.4" x14ac:dyDescent="0.3"/>
  <cols>
    <col min="2" max="2" width="49.5546875" customWidth="1"/>
    <col min="3" max="3" width="9.6640625" bestFit="1" customWidth="1"/>
    <col min="4" max="4" width="12.44140625" bestFit="1" customWidth="1"/>
    <col min="5" max="5" width="14.88671875" bestFit="1" customWidth="1"/>
    <col min="6" max="6" width="47.109375" bestFit="1" customWidth="1"/>
  </cols>
  <sheetData>
    <row r="2" spans="2:6" ht="28.8" x14ac:dyDescent="0.55000000000000004">
      <c r="B2" s="1" t="s">
        <v>198</v>
      </c>
    </row>
    <row r="3" spans="2:6" ht="16.2" customHeight="1" x14ac:dyDescent="0.55000000000000004">
      <c r="B3" s="1"/>
    </row>
    <row r="4" spans="2:6" ht="18.600000000000001" thickBot="1" x14ac:dyDescent="0.4">
      <c r="B4" s="67" t="s">
        <v>213</v>
      </c>
      <c r="C4" s="67" t="s">
        <v>204</v>
      </c>
      <c r="D4" s="67" t="s">
        <v>133</v>
      </c>
    </row>
    <row r="5" spans="2:6" x14ac:dyDescent="0.3">
      <c r="B5" s="4" t="s">
        <v>202</v>
      </c>
      <c r="C5" s="72">
        <v>685.93</v>
      </c>
      <c r="D5" s="72">
        <v>311.52999999999997</v>
      </c>
    </row>
    <row r="6" spans="2:6" x14ac:dyDescent="0.3">
      <c r="B6" s="4" t="s">
        <v>203</v>
      </c>
      <c r="C6" s="72">
        <v>357.43</v>
      </c>
      <c r="D6" s="72">
        <v>124.81</v>
      </c>
    </row>
    <row r="8" spans="2:6" ht="18.600000000000001" thickBot="1" x14ac:dyDescent="0.4">
      <c r="B8" s="67" t="s">
        <v>200</v>
      </c>
      <c r="C8" s="67" t="s">
        <v>205</v>
      </c>
      <c r="D8" s="67" t="s">
        <v>206</v>
      </c>
      <c r="E8" s="67" t="s">
        <v>207</v>
      </c>
      <c r="F8" s="67" t="s">
        <v>208</v>
      </c>
    </row>
    <row r="9" spans="2:6" x14ac:dyDescent="0.3">
      <c r="B9" s="4" t="s">
        <v>199</v>
      </c>
      <c r="C9" s="58">
        <f>SUM(C6:D6)</f>
        <v>482.24</v>
      </c>
      <c r="D9" s="78">
        <v>0.03</v>
      </c>
      <c r="E9" s="58">
        <f>C9*D9</f>
        <v>14.4672</v>
      </c>
      <c r="F9" t="s">
        <v>209</v>
      </c>
    </row>
    <row r="10" spans="2:6" x14ac:dyDescent="0.3">
      <c r="B10" s="4" t="s">
        <v>201</v>
      </c>
      <c r="C10" s="58">
        <f>SUM(C5:D5)</f>
        <v>997.45999999999992</v>
      </c>
      <c r="D10" s="85">
        <v>1.4999999999999999E-2</v>
      </c>
      <c r="E10" s="58">
        <f>C10*D10</f>
        <v>14.961899999999998</v>
      </c>
      <c r="F10" t="s">
        <v>218</v>
      </c>
    </row>
    <row r="11" spans="2:6" x14ac:dyDescent="0.3">
      <c r="B11" s="74" t="s">
        <v>210</v>
      </c>
      <c r="C11" s="76"/>
      <c r="D11" s="76"/>
      <c r="E11" s="90">
        <f>SUM(E9,E10)</f>
        <v>29.429099999999998</v>
      </c>
      <c r="F11" s="76"/>
    </row>
    <row r="13" spans="2:6" ht="87" customHeight="1" x14ac:dyDescent="0.3">
      <c r="B13" s="3" t="s">
        <v>211</v>
      </c>
    </row>
    <row r="14" spans="2:6" ht="72" x14ac:dyDescent="0.3">
      <c r="B14" s="3" t="s">
        <v>212</v>
      </c>
    </row>
  </sheetData>
  <pageMargins left="0.7" right="0.7" top="0.75" bottom="0.75" header="0.3" footer="0.3"/>
  <pageSetup paperSize="8"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D625-3F76-4398-83DF-922C5DB099B4}">
  <dimension ref="B2:C17"/>
  <sheetViews>
    <sheetView workbookViewId="0">
      <selection activeCell="N13" sqref="N13"/>
    </sheetView>
  </sheetViews>
  <sheetFormatPr defaultRowHeight="14.4" x14ac:dyDescent="0.3"/>
  <cols>
    <col min="2" max="2" width="37.5546875" customWidth="1"/>
    <col min="3" max="3" width="9.44140625" bestFit="1" customWidth="1"/>
  </cols>
  <sheetData>
    <row r="2" spans="2:3" ht="28.8" x14ac:dyDescent="0.55000000000000004">
      <c r="B2" s="1" t="s">
        <v>188</v>
      </c>
    </row>
    <row r="5" spans="2:3" x14ac:dyDescent="0.3">
      <c r="B5" s="124" t="s">
        <v>189</v>
      </c>
      <c r="C5" s="72">
        <v>626.66999999999996</v>
      </c>
    </row>
    <row r="6" spans="2:3" x14ac:dyDescent="0.3">
      <c r="B6" s="16" t="s">
        <v>190</v>
      </c>
      <c r="C6" s="72">
        <v>-49.43</v>
      </c>
    </row>
    <row r="7" spans="2:3" x14ac:dyDescent="0.3">
      <c r="B7" s="45" t="s">
        <v>215</v>
      </c>
      <c r="C7" s="117">
        <f>Synergies!E11*(1-0.24)</f>
        <v>22.366115999999998</v>
      </c>
    </row>
    <row r="8" spans="2:3" x14ac:dyDescent="0.3">
      <c r="B8" s="16" t="s">
        <v>192</v>
      </c>
      <c r="C8" s="58">
        <f>-('Sources &amp; Uses'!C5*2.4%*(1-24%))</f>
        <v>-9.120000000000001</v>
      </c>
    </row>
    <row r="9" spans="2:3" x14ac:dyDescent="0.3">
      <c r="B9" s="60" t="s">
        <v>191</v>
      </c>
      <c r="C9" s="58">
        <f>-('Sources &amp; Uses'!C6*'DCF - Ferragamo'!D52)</f>
        <v>-49.133175471698117</v>
      </c>
    </row>
    <row r="10" spans="2:3" x14ac:dyDescent="0.3">
      <c r="B10" s="40" t="s">
        <v>193</v>
      </c>
      <c r="C10" s="119">
        <f>SUM(C5:C8)</f>
        <v>590.48611600000004</v>
      </c>
    </row>
    <row r="11" spans="2:3" x14ac:dyDescent="0.3">
      <c r="B11" s="45" t="s">
        <v>194</v>
      </c>
      <c r="C11" s="72">
        <v>271.60000000000002</v>
      </c>
    </row>
    <row r="12" spans="2:3" x14ac:dyDescent="0.3">
      <c r="B12" s="122" t="s">
        <v>195</v>
      </c>
      <c r="C12" s="123">
        <f>C10/C11</f>
        <v>2.1741020471281294</v>
      </c>
    </row>
    <row r="13" spans="2:3" x14ac:dyDescent="0.3">
      <c r="B13" s="45" t="s">
        <v>196</v>
      </c>
      <c r="C13" s="83">
        <f>C5/'Accretion or Dilution'!C11</f>
        <v>2.3073269513991161</v>
      </c>
    </row>
    <row r="14" spans="2:3" x14ac:dyDescent="0.3">
      <c r="B14" s="120" t="s">
        <v>197</v>
      </c>
      <c r="C14" s="121">
        <f>(C12/C13)-1</f>
        <v>-5.7739933298227131E-2</v>
      </c>
    </row>
    <row r="17" spans="2:2" ht="163.80000000000001" customHeight="1" x14ac:dyDescent="0.3">
      <c r="B17" s="106" t="s">
        <v>216</v>
      </c>
    </row>
  </sheetData>
  <pageMargins left="0.7" right="0.7" top="0.75" bottom="0.75" header="0.3" footer="0.3"/>
  <pageSetup paperSize="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vt:lpstr>
      <vt:lpstr>Short List</vt:lpstr>
      <vt:lpstr>DCF - Ferragamo</vt:lpstr>
      <vt:lpstr>DCF - Burberry</vt:lpstr>
      <vt:lpstr>DCF - Mulberry Group plc</vt:lpstr>
      <vt:lpstr>Target Recommendation</vt:lpstr>
      <vt:lpstr>Target Due Diligence</vt:lpstr>
      <vt:lpstr>Sources &amp; Uses</vt:lpstr>
      <vt:lpstr>Synergies</vt:lpstr>
      <vt:lpstr>Accretion or Dilution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 Grimaldi</dc:creator>
  <cp:lastModifiedBy>Lorenzo Grimaldi</cp:lastModifiedBy>
  <cp:lastPrinted>2026-07-01T10:17:52Z</cp:lastPrinted>
  <dcterms:created xsi:type="dcterms:W3CDTF">2026-06-23T14:10:33Z</dcterms:created>
  <dcterms:modified xsi:type="dcterms:W3CDTF">2026-07-01T12:36:33Z</dcterms:modified>
</cp:coreProperties>
</file>